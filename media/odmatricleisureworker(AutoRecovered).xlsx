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_zarei_studenti_unina_it/Documents/Desktop/exam/"/>
    </mc:Choice>
  </mc:AlternateContent>
  <xr:revisionPtr revIDLastSave="1" documentId="8_{989B67D2-CFC1-46A6-86F4-89B211275029}" xr6:coauthVersionLast="47" xr6:coauthVersionMax="47" xr10:uidLastSave="{29F45DB6-5F72-4286-AF59-9EB3E32051DC}"/>
  <bookViews>
    <workbookView xWindow="-96" yWindow="-96" windowWidth="23232" windowHeight="12432" activeTab="2" xr2:uid="{35855E96-386F-47EE-90C5-9B9EF646B8FA}"/>
  </bookViews>
  <sheets>
    <sheet name="data" sheetId="1" r:id="rId1"/>
    <sheet name="distancematrix" sheetId="2" r:id="rId2"/>
    <sheet name="generation" sheetId="3" r:id="rId3"/>
    <sheet name="distribution" sheetId="4" r:id="rId4"/>
    <sheet name="ODmatri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  <c r="G8" i="4"/>
  <c r="F8" i="4"/>
  <c r="E8" i="4"/>
  <c r="J8" i="4" l="1"/>
  <c r="I8" i="4"/>
  <c r="H8" i="4"/>
  <c r="R43" i="4" l="1"/>
  <c r="N44" i="4"/>
  <c r="J45" i="4"/>
  <c r="F46" i="4"/>
  <c r="AD46" i="4"/>
  <c r="W47" i="4"/>
  <c r="O48" i="4"/>
  <c r="I49" i="4"/>
  <c r="AD49" i="4"/>
  <c r="N51" i="4"/>
  <c r="H52" i="4"/>
  <c r="AA52" i="4"/>
  <c r="L53" i="4"/>
  <c r="X53" i="4"/>
  <c r="H54" i="4"/>
  <c r="T54" i="4"/>
  <c r="AF54" i="4"/>
  <c r="P55" i="4"/>
  <c r="AB55" i="4"/>
  <c r="L56" i="4"/>
  <c r="X56" i="4"/>
  <c r="H57" i="4"/>
  <c r="T57" i="4"/>
  <c r="AF57" i="4"/>
  <c r="P58" i="4"/>
  <c r="AB58" i="4"/>
  <c r="L59" i="4"/>
  <c r="X59" i="4"/>
  <c r="H60" i="4"/>
  <c r="T60" i="4"/>
  <c r="AF60" i="4"/>
  <c r="P61" i="4"/>
  <c r="AB61" i="4"/>
  <c r="L62" i="4"/>
  <c r="X62" i="4"/>
  <c r="H63" i="4"/>
  <c r="T63" i="4"/>
  <c r="AF63" i="4"/>
  <c r="P64" i="4"/>
  <c r="AB64" i="4"/>
  <c r="L65" i="4"/>
  <c r="X65" i="4"/>
  <c r="H66" i="4"/>
  <c r="T66" i="4"/>
  <c r="AF66" i="4"/>
  <c r="P67" i="4"/>
  <c r="AB67" i="4"/>
  <c r="L68" i="4"/>
  <c r="X68" i="4"/>
  <c r="H69" i="4"/>
  <c r="T69" i="4"/>
  <c r="AF69" i="4"/>
  <c r="Q42" i="4"/>
  <c r="AC42" i="4"/>
  <c r="E43" i="4"/>
  <c r="F9" i="4"/>
  <c r="F43" i="4" s="1"/>
  <c r="G9" i="4"/>
  <c r="G43" i="4" s="1"/>
  <c r="H9" i="4"/>
  <c r="H43" i="4" s="1"/>
  <c r="I9" i="4"/>
  <c r="I43" i="4" s="1"/>
  <c r="J9" i="4"/>
  <c r="J43" i="4" s="1"/>
  <c r="K9" i="4"/>
  <c r="K43" i="4" s="1"/>
  <c r="L9" i="4"/>
  <c r="L43" i="4" s="1"/>
  <c r="M9" i="4"/>
  <c r="M43" i="4" s="1"/>
  <c r="N9" i="4"/>
  <c r="N43" i="4" s="1"/>
  <c r="O9" i="4"/>
  <c r="O43" i="4" s="1"/>
  <c r="P9" i="4"/>
  <c r="P43" i="4" s="1"/>
  <c r="Q9" i="4"/>
  <c r="Q43" i="4" s="1"/>
  <c r="R9" i="4"/>
  <c r="S9" i="4"/>
  <c r="S43" i="4" s="1"/>
  <c r="T9" i="4"/>
  <c r="T43" i="4" s="1"/>
  <c r="U9" i="4"/>
  <c r="U43" i="4" s="1"/>
  <c r="V9" i="4"/>
  <c r="V43" i="4" s="1"/>
  <c r="W9" i="4"/>
  <c r="W43" i="4" s="1"/>
  <c r="X9" i="4"/>
  <c r="X43" i="4" s="1"/>
  <c r="Y9" i="4"/>
  <c r="Y43" i="4" s="1"/>
  <c r="Z9" i="4"/>
  <c r="Z43" i="4" s="1"/>
  <c r="AA9" i="4"/>
  <c r="AA43" i="4" s="1"/>
  <c r="AB9" i="4"/>
  <c r="AB43" i="4" s="1"/>
  <c r="AC9" i="4"/>
  <c r="AC43" i="4" s="1"/>
  <c r="AD9" i="4"/>
  <c r="AD43" i="4" s="1"/>
  <c r="AE9" i="4"/>
  <c r="AE43" i="4" s="1"/>
  <c r="AF9" i="4"/>
  <c r="AF43" i="4" s="1"/>
  <c r="E10" i="4"/>
  <c r="E44" i="4" s="1"/>
  <c r="F10" i="4"/>
  <c r="F44" i="4" s="1"/>
  <c r="G10" i="4"/>
  <c r="G44" i="4" s="1"/>
  <c r="H10" i="4"/>
  <c r="H44" i="4" s="1"/>
  <c r="I10" i="4"/>
  <c r="I44" i="4" s="1"/>
  <c r="J10" i="4"/>
  <c r="J44" i="4" s="1"/>
  <c r="K10" i="4"/>
  <c r="K44" i="4" s="1"/>
  <c r="L10" i="4"/>
  <c r="L44" i="4" s="1"/>
  <c r="M10" i="4"/>
  <c r="M44" i="4" s="1"/>
  <c r="N10" i="4"/>
  <c r="O10" i="4"/>
  <c r="O44" i="4" s="1"/>
  <c r="P10" i="4"/>
  <c r="P44" i="4" s="1"/>
  <c r="Q10" i="4"/>
  <c r="Q44" i="4" s="1"/>
  <c r="R10" i="4"/>
  <c r="R44" i="4" s="1"/>
  <c r="S10" i="4"/>
  <c r="S44" i="4" s="1"/>
  <c r="T10" i="4"/>
  <c r="T44" i="4" s="1"/>
  <c r="U10" i="4"/>
  <c r="U44" i="4" s="1"/>
  <c r="V10" i="4"/>
  <c r="V44" i="4" s="1"/>
  <c r="W10" i="4"/>
  <c r="W44" i="4" s="1"/>
  <c r="X10" i="4"/>
  <c r="X44" i="4" s="1"/>
  <c r="Y10" i="4"/>
  <c r="Y44" i="4" s="1"/>
  <c r="Z10" i="4"/>
  <c r="Z44" i="4" s="1"/>
  <c r="AA10" i="4"/>
  <c r="AA44" i="4" s="1"/>
  <c r="AB10" i="4"/>
  <c r="AB44" i="4" s="1"/>
  <c r="AC10" i="4"/>
  <c r="AC44" i="4" s="1"/>
  <c r="AD10" i="4"/>
  <c r="AD44" i="4" s="1"/>
  <c r="AE10" i="4"/>
  <c r="AE44" i="4" s="1"/>
  <c r="AF10" i="4"/>
  <c r="AF44" i="4" s="1"/>
  <c r="E11" i="4"/>
  <c r="E45" i="4" s="1"/>
  <c r="F11" i="4"/>
  <c r="F45" i="4" s="1"/>
  <c r="G11" i="4"/>
  <c r="G45" i="4" s="1"/>
  <c r="H11" i="4"/>
  <c r="H45" i="4" s="1"/>
  <c r="I11" i="4"/>
  <c r="I45" i="4" s="1"/>
  <c r="J11" i="4"/>
  <c r="K11" i="4"/>
  <c r="K45" i="4" s="1"/>
  <c r="L11" i="4"/>
  <c r="L45" i="4" s="1"/>
  <c r="M11" i="4"/>
  <c r="M45" i="4" s="1"/>
  <c r="N11" i="4"/>
  <c r="N45" i="4" s="1"/>
  <c r="O11" i="4"/>
  <c r="O45" i="4" s="1"/>
  <c r="P11" i="4"/>
  <c r="P45" i="4" s="1"/>
  <c r="Q11" i="4"/>
  <c r="Q45" i="4" s="1"/>
  <c r="R11" i="4"/>
  <c r="R45" i="4" s="1"/>
  <c r="S11" i="4"/>
  <c r="S45" i="4" s="1"/>
  <c r="T11" i="4"/>
  <c r="T45" i="4" s="1"/>
  <c r="U11" i="4"/>
  <c r="U45" i="4" s="1"/>
  <c r="V11" i="4"/>
  <c r="V45" i="4" s="1"/>
  <c r="W11" i="4"/>
  <c r="W45" i="4" s="1"/>
  <c r="X11" i="4"/>
  <c r="X45" i="4" s="1"/>
  <c r="Y11" i="4"/>
  <c r="Y45" i="4" s="1"/>
  <c r="Z11" i="4"/>
  <c r="Z45" i="4" s="1"/>
  <c r="AA11" i="4"/>
  <c r="AA45" i="4" s="1"/>
  <c r="AB11" i="4"/>
  <c r="AB45" i="4" s="1"/>
  <c r="AC11" i="4"/>
  <c r="AC45" i="4" s="1"/>
  <c r="AD11" i="4"/>
  <c r="AD45" i="4" s="1"/>
  <c r="AE11" i="4"/>
  <c r="AE45" i="4" s="1"/>
  <c r="AF11" i="4"/>
  <c r="AF45" i="4" s="1"/>
  <c r="E12" i="4"/>
  <c r="E46" i="4" s="1"/>
  <c r="F12" i="4"/>
  <c r="G12" i="4"/>
  <c r="G46" i="4" s="1"/>
  <c r="H12" i="4"/>
  <c r="H46" i="4" s="1"/>
  <c r="I12" i="4"/>
  <c r="I46" i="4" s="1"/>
  <c r="J12" i="4"/>
  <c r="J46" i="4" s="1"/>
  <c r="K12" i="4"/>
  <c r="K46" i="4" s="1"/>
  <c r="L12" i="4"/>
  <c r="L46" i="4" s="1"/>
  <c r="M12" i="4"/>
  <c r="M46" i="4" s="1"/>
  <c r="N12" i="4"/>
  <c r="N46" i="4" s="1"/>
  <c r="O12" i="4"/>
  <c r="O46" i="4" s="1"/>
  <c r="P12" i="4"/>
  <c r="P46" i="4" s="1"/>
  <c r="Q12" i="4"/>
  <c r="Q46" i="4" s="1"/>
  <c r="R12" i="4"/>
  <c r="R46" i="4" s="1"/>
  <c r="S12" i="4"/>
  <c r="S46" i="4" s="1"/>
  <c r="T12" i="4"/>
  <c r="T46" i="4" s="1"/>
  <c r="U12" i="4"/>
  <c r="U46" i="4" s="1"/>
  <c r="V12" i="4"/>
  <c r="V46" i="4" s="1"/>
  <c r="W12" i="4"/>
  <c r="W46" i="4" s="1"/>
  <c r="X12" i="4"/>
  <c r="X46" i="4" s="1"/>
  <c r="Y12" i="4"/>
  <c r="Y46" i="4" s="1"/>
  <c r="Z12" i="4"/>
  <c r="Z46" i="4" s="1"/>
  <c r="AA12" i="4"/>
  <c r="AA46" i="4" s="1"/>
  <c r="AB12" i="4"/>
  <c r="AB46" i="4" s="1"/>
  <c r="AC12" i="4"/>
  <c r="AC46" i="4" s="1"/>
  <c r="AD12" i="4"/>
  <c r="AE12" i="4"/>
  <c r="AE46" i="4" s="1"/>
  <c r="AF12" i="4"/>
  <c r="AF46" i="4" s="1"/>
  <c r="E13" i="4"/>
  <c r="E47" i="4" s="1"/>
  <c r="F13" i="4"/>
  <c r="F47" i="4" s="1"/>
  <c r="G13" i="4"/>
  <c r="G47" i="4" s="1"/>
  <c r="H13" i="4"/>
  <c r="H47" i="4" s="1"/>
  <c r="I13" i="4"/>
  <c r="I47" i="4" s="1"/>
  <c r="J13" i="4"/>
  <c r="J47" i="4" s="1"/>
  <c r="K13" i="4"/>
  <c r="K47" i="4" s="1"/>
  <c r="L13" i="4"/>
  <c r="L47" i="4" s="1"/>
  <c r="M13" i="4"/>
  <c r="M47" i="4" s="1"/>
  <c r="N13" i="4"/>
  <c r="N47" i="4" s="1"/>
  <c r="O13" i="4"/>
  <c r="O47" i="4" s="1"/>
  <c r="P13" i="4"/>
  <c r="P47" i="4" s="1"/>
  <c r="Q13" i="4"/>
  <c r="Q47" i="4" s="1"/>
  <c r="R13" i="4"/>
  <c r="R47" i="4" s="1"/>
  <c r="S13" i="4"/>
  <c r="S47" i="4" s="1"/>
  <c r="T13" i="4"/>
  <c r="T47" i="4" s="1"/>
  <c r="U13" i="4"/>
  <c r="U47" i="4" s="1"/>
  <c r="V13" i="4"/>
  <c r="V47" i="4" s="1"/>
  <c r="W13" i="4"/>
  <c r="X13" i="4"/>
  <c r="X47" i="4" s="1"/>
  <c r="Y13" i="4"/>
  <c r="Y47" i="4" s="1"/>
  <c r="Z13" i="4"/>
  <c r="Z47" i="4" s="1"/>
  <c r="AA13" i="4"/>
  <c r="AA47" i="4" s="1"/>
  <c r="AB13" i="4"/>
  <c r="AB47" i="4" s="1"/>
  <c r="AC13" i="4"/>
  <c r="AC47" i="4" s="1"/>
  <c r="AD13" i="4"/>
  <c r="AD47" i="4" s="1"/>
  <c r="AE13" i="4"/>
  <c r="AE47" i="4" s="1"/>
  <c r="AF13" i="4"/>
  <c r="AF47" i="4" s="1"/>
  <c r="E14" i="4"/>
  <c r="E48" i="4" s="1"/>
  <c r="F14" i="4"/>
  <c r="F48" i="4" s="1"/>
  <c r="G14" i="4"/>
  <c r="G48" i="4" s="1"/>
  <c r="H14" i="4"/>
  <c r="H48" i="4" s="1"/>
  <c r="I14" i="4"/>
  <c r="I48" i="4" s="1"/>
  <c r="J14" i="4"/>
  <c r="J48" i="4" s="1"/>
  <c r="K14" i="4"/>
  <c r="K48" i="4" s="1"/>
  <c r="L14" i="4"/>
  <c r="L48" i="4" s="1"/>
  <c r="M14" i="4"/>
  <c r="M48" i="4" s="1"/>
  <c r="N14" i="4"/>
  <c r="N48" i="4" s="1"/>
  <c r="O14" i="4"/>
  <c r="P14" i="4"/>
  <c r="P48" i="4" s="1"/>
  <c r="Q14" i="4"/>
  <c r="Q48" i="4" s="1"/>
  <c r="R14" i="4"/>
  <c r="R48" i="4" s="1"/>
  <c r="S14" i="4"/>
  <c r="S48" i="4" s="1"/>
  <c r="T14" i="4"/>
  <c r="T48" i="4" s="1"/>
  <c r="U14" i="4"/>
  <c r="U48" i="4" s="1"/>
  <c r="V14" i="4"/>
  <c r="V48" i="4" s="1"/>
  <c r="W14" i="4"/>
  <c r="W48" i="4" s="1"/>
  <c r="X14" i="4"/>
  <c r="X48" i="4" s="1"/>
  <c r="Y14" i="4"/>
  <c r="Y48" i="4" s="1"/>
  <c r="Z14" i="4"/>
  <c r="Z48" i="4" s="1"/>
  <c r="AA14" i="4"/>
  <c r="AA48" i="4" s="1"/>
  <c r="AB14" i="4"/>
  <c r="AB48" i="4" s="1"/>
  <c r="AC14" i="4"/>
  <c r="AC48" i="4" s="1"/>
  <c r="AD14" i="4"/>
  <c r="AD48" i="4" s="1"/>
  <c r="AE14" i="4"/>
  <c r="AE48" i="4" s="1"/>
  <c r="AF14" i="4"/>
  <c r="AF48" i="4" s="1"/>
  <c r="E15" i="4"/>
  <c r="E49" i="4" s="1"/>
  <c r="F15" i="4"/>
  <c r="F49" i="4" s="1"/>
  <c r="G15" i="4"/>
  <c r="G49" i="4" s="1"/>
  <c r="H15" i="4"/>
  <c r="H49" i="4" s="1"/>
  <c r="I15" i="4"/>
  <c r="J15" i="4"/>
  <c r="J49" i="4" s="1"/>
  <c r="K15" i="4"/>
  <c r="K49" i="4" s="1"/>
  <c r="L15" i="4"/>
  <c r="L49" i="4" s="1"/>
  <c r="M15" i="4"/>
  <c r="M49" i="4" s="1"/>
  <c r="N15" i="4"/>
  <c r="N49" i="4" s="1"/>
  <c r="O15" i="4"/>
  <c r="O49" i="4" s="1"/>
  <c r="P15" i="4"/>
  <c r="P49" i="4" s="1"/>
  <c r="Q15" i="4"/>
  <c r="Q49" i="4" s="1"/>
  <c r="R15" i="4"/>
  <c r="R49" i="4" s="1"/>
  <c r="S15" i="4"/>
  <c r="S49" i="4" s="1"/>
  <c r="T15" i="4"/>
  <c r="T49" i="4" s="1"/>
  <c r="U15" i="4"/>
  <c r="U49" i="4" s="1"/>
  <c r="V15" i="4"/>
  <c r="V49" i="4" s="1"/>
  <c r="W15" i="4"/>
  <c r="W49" i="4" s="1"/>
  <c r="X15" i="4"/>
  <c r="X49" i="4" s="1"/>
  <c r="Y15" i="4"/>
  <c r="Y49" i="4" s="1"/>
  <c r="Z15" i="4"/>
  <c r="Z49" i="4" s="1"/>
  <c r="AA15" i="4"/>
  <c r="AA49" i="4" s="1"/>
  <c r="AB15" i="4"/>
  <c r="AB49" i="4" s="1"/>
  <c r="AC15" i="4"/>
  <c r="AC49" i="4" s="1"/>
  <c r="AD15" i="4"/>
  <c r="AE15" i="4"/>
  <c r="AE49" i="4" s="1"/>
  <c r="AF15" i="4"/>
  <c r="AF49" i="4" s="1"/>
  <c r="E16" i="4"/>
  <c r="E50" i="4" s="1"/>
  <c r="F16" i="4"/>
  <c r="F50" i="4" s="1"/>
  <c r="G16" i="4"/>
  <c r="G50" i="4" s="1"/>
  <c r="H16" i="4"/>
  <c r="H50" i="4" s="1"/>
  <c r="I16" i="4"/>
  <c r="I50" i="4" s="1"/>
  <c r="J16" i="4"/>
  <c r="J50" i="4" s="1"/>
  <c r="K16" i="4"/>
  <c r="K50" i="4" s="1"/>
  <c r="L16" i="4"/>
  <c r="L50" i="4" s="1"/>
  <c r="M16" i="4"/>
  <c r="M50" i="4" s="1"/>
  <c r="N16" i="4"/>
  <c r="N50" i="4" s="1"/>
  <c r="O16" i="4"/>
  <c r="O50" i="4" s="1"/>
  <c r="P16" i="4"/>
  <c r="P50" i="4" s="1"/>
  <c r="Q16" i="4"/>
  <c r="Q50" i="4" s="1"/>
  <c r="R16" i="4"/>
  <c r="R50" i="4" s="1"/>
  <c r="S16" i="4"/>
  <c r="S50" i="4" s="1"/>
  <c r="T16" i="4"/>
  <c r="T50" i="4" s="1"/>
  <c r="U16" i="4"/>
  <c r="U50" i="4" s="1"/>
  <c r="V16" i="4"/>
  <c r="V50" i="4" s="1"/>
  <c r="W16" i="4"/>
  <c r="W50" i="4" s="1"/>
  <c r="X16" i="4"/>
  <c r="X50" i="4" s="1"/>
  <c r="Y16" i="4"/>
  <c r="Y50" i="4" s="1"/>
  <c r="Z16" i="4"/>
  <c r="Z50" i="4" s="1"/>
  <c r="AA16" i="4"/>
  <c r="AA50" i="4" s="1"/>
  <c r="AB16" i="4"/>
  <c r="AB50" i="4" s="1"/>
  <c r="AC16" i="4"/>
  <c r="AC50" i="4" s="1"/>
  <c r="AD16" i="4"/>
  <c r="AD50" i="4" s="1"/>
  <c r="AE16" i="4"/>
  <c r="AE50" i="4" s="1"/>
  <c r="AF16" i="4"/>
  <c r="AF50" i="4" s="1"/>
  <c r="E17" i="4"/>
  <c r="E51" i="4" s="1"/>
  <c r="F17" i="4"/>
  <c r="F51" i="4" s="1"/>
  <c r="G17" i="4"/>
  <c r="G51" i="4" s="1"/>
  <c r="H17" i="4"/>
  <c r="H51" i="4" s="1"/>
  <c r="I17" i="4"/>
  <c r="I51" i="4" s="1"/>
  <c r="J17" i="4"/>
  <c r="J51" i="4" s="1"/>
  <c r="K17" i="4"/>
  <c r="K51" i="4" s="1"/>
  <c r="L17" i="4"/>
  <c r="L51" i="4" s="1"/>
  <c r="M17" i="4"/>
  <c r="M51" i="4" s="1"/>
  <c r="N17" i="4"/>
  <c r="O17" i="4"/>
  <c r="O51" i="4" s="1"/>
  <c r="P17" i="4"/>
  <c r="P51" i="4" s="1"/>
  <c r="Q17" i="4"/>
  <c r="Q51" i="4" s="1"/>
  <c r="R17" i="4"/>
  <c r="R51" i="4" s="1"/>
  <c r="S17" i="4"/>
  <c r="S51" i="4" s="1"/>
  <c r="T17" i="4"/>
  <c r="T51" i="4" s="1"/>
  <c r="U17" i="4"/>
  <c r="U51" i="4" s="1"/>
  <c r="V17" i="4"/>
  <c r="V51" i="4" s="1"/>
  <c r="W17" i="4"/>
  <c r="W51" i="4" s="1"/>
  <c r="X17" i="4"/>
  <c r="X51" i="4" s="1"/>
  <c r="Y17" i="4"/>
  <c r="Y51" i="4" s="1"/>
  <c r="Z17" i="4"/>
  <c r="Z51" i="4" s="1"/>
  <c r="AA17" i="4"/>
  <c r="AA51" i="4" s="1"/>
  <c r="AB17" i="4"/>
  <c r="AB51" i="4" s="1"/>
  <c r="AC17" i="4"/>
  <c r="AC51" i="4" s="1"/>
  <c r="AD17" i="4"/>
  <c r="AD51" i="4" s="1"/>
  <c r="AE17" i="4"/>
  <c r="AE51" i="4" s="1"/>
  <c r="AF17" i="4"/>
  <c r="AF51" i="4" s="1"/>
  <c r="E18" i="4"/>
  <c r="E52" i="4" s="1"/>
  <c r="F18" i="4"/>
  <c r="F52" i="4" s="1"/>
  <c r="G18" i="4"/>
  <c r="G52" i="4" s="1"/>
  <c r="H18" i="4"/>
  <c r="I18" i="4"/>
  <c r="I52" i="4" s="1"/>
  <c r="J18" i="4"/>
  <c r="J52" i="4" s="1"/>
  <c r="K18" i="4"/>
  <c r="K52" i="4" s="1"/>
  <c r="L18" i="4"/>
  <c r="L52" i="4" s="1"/>
  <c r="M18" i="4"/>
  <c r="M52" i="4" s="1"/>
  <c r="N18" i="4"/>
  <c r="N52" i="4" s="1"/>
  <c r="O18" i="4"/>
  <c r="O52" i="4" s="1"/>
  <c r="P18" i="4"/>
  <c r="P52" i="4" s="1"/>
  <c r="Q18" i="4"/>
  <c r="Q52" i="4" s="1"/>
  <c r="R18" i="4"/>
  <c r="R52" i="4" s="1"/>
  <c r="S18" i="4"/>
  <c r="S52" i="4" s="1"/>
  <c r="T18" i="4"/>
  <c r="T52" i="4" s="1"/>
  <c r="U18" i="4"/>
  <c r="U52" i="4" s="1"/>
  <c r="V18" i="4"/>
  <c r="V52" i="4" s="1"/>
  <c r="W18" i="4"/>
  <c r="W52" i="4" s="1"/>
  <c r="X18" i="4"/>
  <c r="X52" i="4" s="1"/>
  <c r="Y18" i="4"/>
  <c r="Y52" i="4" s="1"/>
  <c r="Z18" i="4"/>
  <c r="Z52" i="4" s="1"/>
  <c r="AA18" i="4"/>
  <c r="AB18" i="4"/>
  <c r="AB52" i="4" s="1"/>
  <c r="AC18" i="4"/>
  <c r="AC52" i="4" s="1"/>
  <c r="AD18" i="4"/>
  <c r="AD52" i="4" s="1"/>
  <c r="AE18" i="4"/>
  <c r="AE52" i="4" s="1"/>
  <c r="AF18" i="4"/>
  <c r="AF52" i="4" s="1"/>
  <c r="E19" i="4"/>
  <c r="E53" i="4" s="1"/>
  <c r="F19" i="4"/>
  <c r="F53" i="4" s="1"/>
  <c r="G19" i="4"/>
  <c r="G53" i="4" s="1"/>
  <c r="H19" i="4"/>
  <c r="H53" i="4" s="1"/>
  <c r="I19" i="4"/>
  <c r="I53" i="4" s="1"/>
  <c r="J19" i="4"/>
  <c r="J53" i="4" s="1"/>
  <c r="K19" i="4"/>
  <c r="K53" i="4" s="1"/>
  <c r="L19" i="4"/>
  <c r="M19" i="4"/>
  <c r="M53" i="4" s="1"/>
  <c r="N19" i="4"/>
  <c r="N53" i="4" s="1"/>
  <c r="O19" i="4"/>
  <c r="O53" i="4" s="1"/>
  <c r="P19" i="4"/>
  <c r="P53" i="4" s="1"/>
  <c r="Q19" i="4"/>
  <c r="Q53" i="4" s="1"/>
  <c r="R19" i="4"/>
  <c r="R53" i="4" s="1"/>
  <c r="S19" i="4"/>
  <c r="S53" i="4" s="1"/>
  <c r="T19" i="4"/>
  <c r="T53" i="4" s="1"/>
  <c r="U19" i="4"/>
  <c r="U53" i="4" s="1"/>
  <c r="V19" i="4"/>
  <c r="V53" i="4" s="1"/>
  <c r="W19" i="4"/>
  <c r="W53" i="4" s="1"/>
  <c r="X19" i="4"/>
  <c r="Y19" i="4"/>
  <c r="Y53" i="4" s="1"/>
  <c r="Z19" i="4"/>
  <c r="Z53" i="4" s="1"/>
  <c r="AA19" i="4"/>
  <c r="AA53" i="4" s="1"/>
  <c r="AB19" i="4"/>
  <c r="AB53" i="4" s="1"/>
  <c r="AC19" i="4"/>
  <c r="AC53" i="4" s="1"/>
  <c r="AD19" i="4"/>
  <c r="AD53" i="4" s="1"/>
  <c r="AE19" i="4"/>
  <c r="AE53" i="4" s="1"/>
  <c r="AF19" i="4"/>
  <c r="AF53" i="4" s="1"/>
  <c r="E20" i="4"/>
  <c r="E54" i="4" s="1"/>
  <c r="F20" i="4"/>
  <c r="F54" i="4" s="1"/>
  <c r="G20" i="4"/>
  <c r="G54" i="4" s="1"/>
  <c r="H20" i="4"/>
  <c r="I20" i="4"/>
  <c r="I54" i="4" s="1"/>
  <c r="J20" i="4"/>
  <c r="J54" i="4" s="1"/>
  <c r="K20" i="4"/>
  <c r="K54" i="4" s="1"/>
  <c r="L20" i="4"/>
  <c r="L54" i="4" s="1"/>
  <c r="M20" i="4"/>
  <c r="M54" i="4" s="1"/>
  <c r="N20" i="4"/>
  <c r="N54" i="4" s="1"/>
  <c r="O20" i="4"/>
  <c r="O54" i="4" s="1"/>
  <c r="P20" i="4"/>
  <c r="P54" i="4" s="1"/>
  <c r="Q20" i="4"/>
  <c r="Q54" i="4" s="1"/>
  <c r="R20" i="4"/>
  <c r="R54" i="4" s="1"/>
  <c r="S20" i="4"/>
  <c r="S54" i="4" s="1"/>
  <c r="T20" i="4"/>
  <c r="U20" i="4"/>
  <c r="U54" i="4" s="1"/>
  <c r="V20" i="4"/>
  <c r="V54" i="4" s="1"/>
  <c r="W20" i="4"/>
  <c r="W54" i="4" s="1"/>
  <c r="X20" i="4"/>
  <c r="X54" i="4" s="1"/>
  <c r="Y20" i="4"/>
  <c r="Y54" i="4" s="1"/>
  <c r="Z20" i="4"/>
  <c r="Z54" i="4" s="1"/>
  <c r="AA20" i="4"/>
  <c r="AA54" i="4" s="1"/>
  <c r="AB20" i="4"/>
  <c r="AB54" i="4" s="1"/>
  <c r="AC20" i="4"/>
  <c r="AC54" i="4" s="1"/>
  <c r="AD20" i="4"/>
  <c r="AD54" i="4" s="1"/>
  <c r="AE20" i="4"/>
  <c r="AE54" i="4" s="1"/>
  <c r="AF20" i="4"/>
  <c r="E21" i="4"/>
  <c r="E55" i="4" s="1"/>
  <c r="F21" i="4"/>
  <c r="F55" i="4" s="1"/>
  <c r="G21" i="4"/>
  <c r="G55" i="4" s="1"/>
  <c r="H21" i="4"/>
  <c r="H55" i="4" s="1"/>
  <c r="I21" i="4"/>
  <c r="I55" i="4" s="1"/>
  <c r="J21" i="4"/>
  <c r="J55" i="4" s="1"/>
  <c r="K21" i="4"/>
  <c r="K55" i="4" s="1"/>
  <c r="L21" i="4"/>
  <c r="L55" i="4" s="1"/>
  <c r="M21" i="4"/>
  <c r="M55" i="4" s="1"/>
  <c r="N21" i="4"/>
  <c r="N55" i="4" s="1"/>
  <c r="O21" i="4"/>
  <c r="O55" i="4" s="1"/>
  <c r="P21" i="4"/>
  <c r="Q21" i="4"/>
  <c r="Q55" i="4" s="1"/>
  <c r="R21" i="4"/>
  <c r="R55" i="4" s="1"/>
  <c r="S21" i="4"/>
  <c r="S55" i="4" s="1"/>
  <c r="T21" i="4"/>
  <c r="T55" i="4" s="1"/>
  <c r="U21" i="4"/>
  <c r="U55" i="4" s="1"/>
  <c r="V21" i="4"/>
  <c r="V55" i="4" s="1"/>
  <c r="W21" i="4"/>
  <c r="W55" i="4" s="1"/>
  <c r="X21" i="4"/>
  <c r="X55" i="4" s="1"/>
  <c r="Y21" i="4"/>
  <c r="Y55" i="4" s="1"/>
  <c r="Z21" i="4"/>
  <c r="Z55" i="4" s="1"/>
  <c r="AA21" i="4"/>
  <c r="AA55" i="4" s="1"/>
  <c r="AB21" i="4"/>
  <c r="AC21" i="4"/>
  <c r="AC55" i="4" s="1"/>
  <c r="AD21" i="4"/>
  <c r="AD55" i="4" s="1"/>
  <c r="AE21" i="4"/>
  <c r="AE55" i="4" s="1"/>
  <c r="AF21" i="4"/>
  <c r="AF55" i="4" s="1"/>
  <c r="E22" i="4"/>
  <c r="E56" i="4" s="1"/>
  <c r="F22" i="4"/>
  <c r="F56" i="4" s="1"/>
  <c r="G22" i="4"/>
  <c r="G56" i="4" s="1"/>
  <c r="H22" i="4"/>
  <c r="H56" i="4" s="1"/>
  <c r="I22" i="4"/>
  <c r="I56" i="4" s="1"/>
  <c r="J22" i="4"/>
  <c r="J56" i="4" s="1"/>
  <c r="K22" i="4"/>
  <c r="K56" i="4" s="1"/>
  <c r="L22" i="4"/>
  <c r="M22" i="4"/>
  <c r="M56" i="4" s="1"/>
  <c r="N22" i="4"/>
  <c r="N56" i="4" s="1"/>
  <c r="O22" i="4"/>
  <c r="O56" i="4" s="1"/>
  <c r="P22" i="4"/>
  <c r="P56" i="4" s="1"/>
  <c r="Q22" i="4"/>
  <c r="Q56" i="4" s="1"/>
  <c r="R22" i="4"/>
  <c r="R56" i="4" s="1"/>
  <c r="S22" i="4"/>
  <c r="S56" i="4" s="1"/>
  <c r="T22" i="4"/>
  <c r="T56" i="4" s="1"/>
  <c r="U22" i="4"/>
  <c r="U56" i="4" s="1"/>
  <c r="V22" i="4"/>
  <c r="V56" i="4" s="1"/>
  <c r="W22" i="4"/>
  <c r="W56" i="4" s="1"/>
  <c r="X22" i="4"/>
  <c r="Y22" i="4"/>
  <c r="Y56" i="4" s="1"/>
  <c r="Z22" i="4"/>
  <c r="Z56" i="4" s="1"/>
  <c r="AA22" i="4"/>
  <c r="AA56" i="4" s="1"/>
  <c r="AB22" i="4"/>
  <c r="AB56" i="4" s="1"/>
  <c r="AC22" i="4"/>
  <c r="AC56" i="4" s="1"/>
  <c r="AD22" i="4"/>
  <c r="AD56" i="4" s="1"/>
  <c r="AE22" i="4"/>
  <c r="AE56" i="4" s="1"/>
  <c r="AF22" i="4"/>
  <c r="AF56" i="4" s="1"/>
  <c r="E23" i="4"/>
  <c r="E57" i="4" s="1"/>
  <c r="F23" i="4"/>
  <c r="F57" i="4" s="1"/>
  <c r="G23" i="4"/>
  <c r="G57" i="4" s="1"/>
  <c r="H23" i="4"/>
  <c r="I23" i="4"/>
  <c r="I57" i="4" s="1"/>
  <c r="J23" i="4"/>
  <c r="J57" i="4" s="1"/>
  <c r="K23" i="4"/>
  <c r="K57" i="4" s="1"/>
  <c r="L23" i="4"/>
  <c r="L57" i="4" s="1"/>
  <c r="M23" i="4"/>
  <c r="M57" i="4" s="1"/>
  <c r="N23" i="4"/>
  <c r="N57" i="4" s="1"/>
  <c r="O23" i="4"/>
  <c r="O57" i="4" s="1"/>
  <c r="P23" i="4"/>
  <c r="P57" i="4" s="1"/>
  <c r="Q23" i="4"/>
  <c r="Q57" i="4" s="1"/>
  <c r="R23" i="4"/>
  <c r="R57" i="4" s="1"/>
  <c r="S23" i="4"/>
  <c r="S57" i="4" s="1"/>
  <c r="T23" i="4"/>
  <c r="U23" i="4"/>
  <c r="U57" i="4" s="1"/>
  <c r="V23" i="4"/>
  <c r="V57" i="4" s="1"/>
  <c r="W23" i="4"/>
  <c r="W57" i="4" s="1"/>
  <c r="X23" i="4"/>
  <c r="X57" i="4" s="1"/>
  <c r="Y23" i="4"/>
  <c r="Y57" i="4" s="1"/>
  <c r="Z23" i="4"/>
  <c r="Z57" i="4" s="1"/>
  <c r="AA23" i="4"/>
  <c r="AA57" i="4" s="1"/>
  <c r="AB23" i="4"/>
  <c r="AB57" i="4" s="1"/>
  <c r="AC23" i="4"/>
  <c r="AC57" i="4" s="1"/>
  <c r="AD23" i="4"/>
  <c r="AD57" i="4" s="1"/>
  <c r="AE23" i="4"/>
  <c r="AE57" i="4" s="1"/>
  <c r="AF23" i="4"/>
  <c r="E24" i="4"/>
  <c r="E58" i="4" s="1"/>
  <c r="F24" i="4"/>
  <c r="F58" i="4" s="1"/>
  <c r="G24" i="4"/>
  <c r="G58" i="4" s="1"/>
  <c r="H24" i="4"/>
  <c r="H58" i="4" s="1"/>
  <c r="I24" i="4"/>
  <c r="I58" i="4" s="1"/>
  <c r="J24" i="4"/>
  <c r="J58" i="4" s="1"/>
  <c r="K24" i="4"/>
  <c r="K58" i="4" s="1"/>
  <c r="L24" i="4"/>
  <c r="L58" i="4" s="1"/>
  <c r="M24" i="4"/>
  <c r="M58" i="4" s="1"/>
  <c r="N24" i="4"/>
  <c r="N58" i="4" s="1"/>
  <c r="O24" i="4"/>
  <c r="O58" i="4" s="1"/>
  <c r="P24" i="4"/>
  <c r="Q24" i="4"/>
  <c r="Q58" i="4" s="1"/>
  <c r="R24" i="4"/>
  <c r="R58" i="4" s="1"/>
  <c r="S24" i="4"/>
  <c r="S58" i="4" s="1"/>
  <c r="T24" i="4"/>
  <c r="T58" i="4" s="1"/>
  <c r="U24" i="4"/>
  <c r="U58" i="4" s="1"/>
  <c r="V24" i="4"/>
  <c r="V58" i="4" s="1"/>
  <c r="W24" i="4"/>
  <c r="W58" i="4" s="1"/>
  <c r="X24" i="4"/>
  <c r="X58" i="4" s="1"/>
  <c r="Y24" i="4"/>
  <c r="Y58" i="4" s="1"/>
  <c r="Z24" i="4"/>
  <c r="Z58" i="4" s="1"/>
  <c r="AA24" i="4"/>
  <c r="AA58" i="4" s="1"/>
  <c r="AB24" i="4"/>
  <c r="AC24" i="4"/>
  <c r="AC58" i="4" s="1"/>
  <c r="AD24" i="4"/>
  <c r="AD58" i="4" s="1"/>
  <c r="AE24" i="4"/>
  <c r="AE58" i="4" s="1"/>
  <c r="AF24" i="4"/>
  <c r="AF58" i="4" s="1"/>
  <c r="E25" i="4"/>
  <c r="E59" i="4" s="1"/>
  <c r="F25" i="4"/>
  <c r="F59" i="4" s="1"/>
  <c r="G25" i="4"/>
  <c r="G59" i="4" s="1"/>
  <c r="H25" i="4"/>
  <c r="H59" i="4" s="1"/>
  <c r="I25" i="4"/>
  <c r="I59" i="4" s="1"/>
  <c r="J25" i="4"/>
  <c r="J59" i="4" s="1"/>
  <c r="K25" i="4"/>
  <c r="K59" i="4" s="1"/>
  <c r="L25" i="4"/>
  <c r="M25" i="4"/>
  <c r="M59" i="4" s="1"/>
  <c r="N25" i="4"/>
  <c r="N59" i="4" s="1"/>
  <c r="O25" i="4"/>
  <c r="O59" i="4" s="1"/>
  <c r="P25" i="4"/>
  <c r="P59" i="4" s="1"/>
  <c r="Q25" i="4"/>
  <c r="Q59" i="4" s="1"/>
  <c r="R25" i="4"/>
  <c r="R59" i="4" s="1"/>
  <c r="S25" i="4"/>
  <c r="S59" i="4" s="1"/>
  <c r="T25" i="4"/>
  <c r="T59" i="4" s="1"/>
  <c r="U25" i="4"/>
  <c r="U59" i="4" s="1"/>
  <c r="V25" i="4"/>
  <c r="V59" i="4" s="1"/>
  <c r="W25" i="4"/>
  <c r="W59" i="4" s="1"/>
  <c r="X25" i="4"/>
  <c r="Y25" i="4"/>
  <c r="Y59" i="4" s="1"/>
  <c r="Z25" i="4"/>
  <c r="Z59" i="4" s="1"/>
  <c r="AA25" i="4"/>
  <c r="AA59" i="4" s="1"/>
  <c r="AB25" i="4"/>
  <c r="AB59" i="4" s="1"/>
  <c r="AC25" i="4"/>
  <c r="AC59" i="4" s="1"/>
  <c r="AD25" i="4"/>
  <c r="AD59" i="4" s="1"/>
  <c r="AE25" i="4"/>
  <c r="AE59" i="4" s="1"/>
  <c r="AF25" i="4"/>
  <c r="AF59" i="4" s="1"/>
  <c r="E26" i="4"/>
  <c r="E60" i="4" s="1"/>
  <c r="F26" i="4"/>
  <c r="F60" i="4" s="1"/>
  <c r="G26" i="4"/>
  <c r="G60" i="4" s="1"/>
  <c r="H26" i="4"/>
  <c r="I26" i="4"/>
  <c r="I60" i="4" s="1"/>
  <c r="J26" i="4"/>
  <c r="J60" i="4" s="1"/>
  <c r="K26" i="4"/>
  <c r="K60" i="4" s="1"/>
  <c r="L26" i="4"/>
  <c r="L60" i="4" s="1"/>
  <c r="M26" i="4"/>
  <c r="M60" i="4" s="1"/>
  <c r="N26" i="4"/>
  <c r="N60" i="4" s="1"/>
  <c r="O26" i="4"/>
  <c r="O60" i="4" s="1"/>
  <c r="P26" i="4"/>
  <c r="P60" i="4" s="1"/>
  <c r="Q26" i="4"/>
  <c r="Q60" i="4" s="1"/>
  <c r="R26" i="4"/>
  <c r="R60" i="4" s="1"/>
  <c r="S26" i="4"/>
  <c r="S60" i="4" s="1"/>
  <c r="T26" i="4"/>
  <c r="U26" i="4"/>
  <c r="U60" i="4" s="1"/>
  <c r="V26" i="4"/>
  <c r="V60" i="4" s="1"/>
  <c r="W26" i="4"/>
  <c r="W60" i="4" s="1"/>
  <c r="X26" i="4"/>
  <c r="X60" i="4" s="1"/>
  <c r="Y26" i="4"/>
  <c r="Y60" i="4" s="1"/>
  <c r="Z26" i="4"/>
  <c r="Z60" i="4" s="1"/>
  <c r="AA26" i="4"/>
  <c r="AA60" i="4" s="1"/>
  <c r="AB26" i="4"/>
  <c r="AB60" i="4" s="1"/>
  <c r="AC26" i="4"/>
  <c r="AC60" i="4" s="1"/>
  <c r="AD26" i="4"/>
  <c r="AD60" i="4" s="1"/>
  <c r="AE26" i="4"/>
  <c r="AE60" i="4" s="1"/>
  <c r="AF26" i="4"/>
  <c r="E27" i="4"/>
  <c r="E61" i="4" s="1"/>
  <c r="F27" i="4"/>
  <c r="F61" i="4" s="1"/>
  <c r="G27" i="4"/>
  <c r="G61" i="4" s="1"/>
  <c r="H27" i="4"/>
  <c r="H61" i="4" s="1"/>
  <c r="I27" i="4"/>
  <c r="I61" i="4" s="1"/>
  <c r="J27" i="4"/>
  <c r="J61" i="4" s="1"/>
  <c r="K27" i="4"/>
  <c r="K61" i="4" s="1"/>
  <c r="L27" i="4"/>
  <c r="L61" i="4" s="1"/>
  <c r="M27" i="4"/>
  <c r="M61" i="4" s="1"/>
  <c r="N27" i="4"/>
  <c r="N61" i="4" s="1"/>
  <c r="O27" i="4"/>
  <c r="O61" i="4" s="1"/>
  <c r="P27" i="4"/>
  <c r="Q27" i="4"/>
  <c r="Q61" i="4" s="1"/>
  <c r="R27" i="4"/>
  <c r="R61" i="4" s="1"/>
  <c r="S27" i="4"/>
  <c r="S61" i="4" s="1"/>
  <c r="T27" i="4"/>
  <c r="T61" i="4" s="1"/>
  <c r="U27" i="4"/>
  <c r="U61" i="4" s="1"/>
  <c r="V27" i="4"/>
  <c r="V61" i="4" s="1"/>
  <c r="W27" i="4"/>
  <c r="W61" i="4" s="1"/>
  <c r="X27" i="4"/>
  <c r="X61" i="4" s="1"/>
  <c r="Y27" i="4"/>
  <c r="Y61" i="4" s="1"/>
  <c r="Z27" i="4"/>
  <c r="Z61" i="4" s="1"/>
  <c r="AA27" i="4"/>
  <c r="AA61" i="4" s="1"/>
  <c r="AB27" i="4"/>
  <c r="AC27" i="4"/>
  <c r="AC61" i="4" s="1"/>
  <c r="AD27" i="4"/>
  <c r="AD61" i="4" s="1"/>
  <c r="AE27" i="4"/>
  <c r="AE61" i="4" s="1"/>
  <c r="AF27" i="4"/>
  <c r="AF61" i="4" s="1"/>
  <c r="E28" i="4"/>
  <c r="E62" i="4" s="1"/>
  <c r="F28" i="4"/>
  <c r="F62" i="4" s="1"/>
  <c r="G28" i="4"/>
  <c r="G62" i="4" s="1"/>
  <c r="H28" i="4"/>
  <c r="H62" i="4" s="1"/>
  <c r="I28" i="4"/>
  <c r="I62" i="4" s="1"/>
  <c r="J28" i="4"/>
  <c r="J62" i="4" s="1"/>
  <c r="K28" i="4"/>
  <c r="K62" i="4" s="1"/>
  <c r="L28" i="4"/>
  <c r="M28" i="4"/>
  <c r="M62" i="4" s="1"/>
  <c r="N28" i="4"/>
  <c r="N62" i="4" s="1"/>
  <c r="O28" i="4"/>
  <c r="O62" i="4" s="1"/>
  <c r="P28" i="4"/>
  <c r="P62" i="4" s="1"/>
  <c r="Q28" i="4"/>
  <c r="Q62" i="4" s="1"/>
  <c r="R28" i="4"/>
  <c r="R62" i="4" s="1"/>
  <c r="S28" i="4"/>
  <c r="S62" i="4" s="1"/>
  <c r="T28" i="4"/>
  <c r="T62" i="4" s="1"/>
  <c r="U28" i="4"/>
  <c r="U62" i="4" s="1"/>
  <c r="V28" i="4"/>
  <c r="V62" i="4" s="1"/>
  <c r="W28" i="4"/>
  <c r="W62" i="4" s="1"/>
  <c r="X28" i="4"/>
  <c r="Y28" i="4"/>
  <c r="Y62" i="4" s="1"/>
  <c r="Z28" i="4"/>
  <c r="Z62" i="4" s="1"/>
  <c r="AA28" i="4"/>
  <c r="AA62" i="4" s="1"/>
  <c r="AB28" i="4"/>
  <c r="AB62" i="4" s="1"/>
  <c r="AC28" i="4"/>
  <c r="AC62" i="4" s="1"/>
  <c r="AD28" i="4"/>
  <c r="AD62" i="4" s="1"/>
  <c r="AE28" i="4"/>
  <c r="AE62" i="4" s="1"/>
  <c r="AF28" i="4"/>
  <c r="AF62" i="4" s="1"/>
  <c r="E29" i="4"/>
  <c r="E63" i="4" s="1"/>
  <c r="F29" i="4"/>
  <c r="F63" i="4" s="1"/>
  <c r="G29" i="4"/>
  <c r="G63" i="4" s="1"/>
  <c r="H29" i="4"/>
  <c r="I29" i="4"/>
  <c r="I63" i="4" s="1"/>
  <c r="J29" i="4"/>
  <c r="J63" i="4" s="1"/>
  <c r="K29" i="4"/>
  <c r="K63" i="4" s="1"/>
  <c r="L29" i="4"/>
  <c r="L63" i="4" s="1"/>
  <c r="M29" i="4"/>
  <c r="M63" i="4" s="1"/>
  <c r="N29" i="4"/>
  <c r="N63" i="4" s="1"/>
  <c r="O29" i="4"/>
  <c r="O63" i="4" s="1"/>
  <c r="P29" i="4"/>
  <c r="P63" i="4" s="1"/>
  <c r="Q29" i="4"/>
  <c r="Q63" i="4" s="1"/>
  <c r="R29" i="4"/>
  <c r="R63" i="4" s="1"/>
  <c r="S29" i="4"/>
  <c r="S63" i="4" s="1"/>
  <c r="T29" i="4"/>
  <c r="U29" i="4"/>
  <c r="U63" i="4" s="1"/>
  <c r="V29" i="4"/>
  <c r="V63" i="4" s="1"/>
  <c r="W29" i="4"/>
  <c r="W63" i="4" s="1"/>
  <c r="X29" i="4"/>
  <c r="X63" i="4" s="1"/>
  <c r="Y29" i="4"/>
  <c r="Y63" i="4" s="1"/>
  <c r="Z29" i="4"/>
  <c r="Z63" i="4" s="1"/>
  <c r="AA29" i="4"/>
  <c r="AA63" i="4" s="1"/>
  <c r="AB29" i="4"/>
  <c r="AB63" i="4" s="1"/>
  <c r="AC29" i="4"/>
  <c r="AC63" i="4" s="1"/>
  <c r="AD29" i="4"/>
  <c r="AD63" i="4" s="1"/>
  <c r="AE29" i="4"/>
  <c r="AE63" i="4" s="1"/>
  <c r="AF29" i="4"/>
  <c r="E30" i="4"/>
  <c r="E64" i="4" s="1"/>
  <c r="F30" i="4"/>
  <c r="F64" i="4" s="1"/>
  <c r="G30" i="4"/>
  <c r="G64" i="4" s="1"/>
  <c r="H30" i="4"/>
  <c r="H64" i="4" s="1"/>
  <c r="I30" i="4"/>
  <c r="I64" i="4" s="1"/>
  <c r="J30" i="4"/>
  <c r="J64" i="4" s="1"/>
  <c r="K30" i="4"/>
  <c r="K64" i="4" s="1"/>
  <c r="L30" i="4"/>
  <c r="L64" i="4" s="1"/>
  <c r="M30" i="4"/>
  <c r="M64" i="4" s="1"/>
  <c r="N30" i="4"/>
  <c r="N64" i="4" s="1"/>
  <c r="O30" i="4"/>
  <c r="O64" i="4" s="1"/>
  <c r="P30" i="4"/>
  <c r="Q30" i="4"/>
  <c r="Q64" i="4" s="1"/>
  <c r="R30" i="4"/>
  <c r="R64" i="4" s="1"/>
  <c r="S30" i="4"/>
  <c r="S64" i="4" s="1"/>
  <c r="T30" i="4"/>
  <c r="T64" i="4" s="1"/>
  <c r="U30" i="4"/>
  <c r="U64" i="4" s="1"/>
  <c r="V30" i="4"/>
  <c r="V64" i="4" s="1"/>
  <c r="W30" i="4"/>
  <c r="W64" i="4" s="1"/>
  <c r="X30" i="4"/>
  <c r="X64" i="4" s="1"/>
  <c r="Y30" i="4"/>
  <c r="Y64" i="4" s="1"/>
  <c r="Z30" i="4"/>
  <c r="Z64" i="4" s="1"/>
  <c r="AA30" i="4"/>
  <c r="AA64" i="4" s="1"/>
  <c r="AB30" i="4"/>
  <c r="AC30" i="4"/>
  <c r="AC64" i="4" s="1"/>
  <c r="AD30" i="4"/>
  <c r="AD64" i="4" s="1"/>
  <c r="AE30" i="4"/>
  <c r="AE64" i="4" s="1"/>
  <c r="AF30" i="4"/>
  <c r="AF64" i="4" s="1"/>
  <c r="E31" i="4"/>
  <c r="E65" i="4" s="1"/>
  <c r="F31" i="4"/>
  <c r="F65" i="4" s="1"/>
  <c r="G31" i="4"/>
  <c r="G65" i="4" s="1"/>
  <c r="H31" i="4"/>
  <c r="H65" i="4" s="1"/>
  <c r="I31" i="4"/>
  <c r="I65" i="4" s="1"/>
  <c r="J31" i="4"/>
  <c r="J65" i="4" s="1"/>
  <c r="K31" i="4"/>
  <c r="K65" i="4" s="1"/>
  <c r="L31" i="4"/>
  <c r="M31" i="4"/>
  <c r="M65" i="4" s="1"/>
  <c r="N31" i="4"/>
  <c r="N65" i="4" s="1"/>
  <c r="O31" i="4"/>
  <c r="O65" i="4" s="1"/>
  <c r="P31" i="4"/>
  <c r="P65" i="4" s="1"/>
  <c r="Q31" i="4"/>
  <c r="Q65" i="4" s="1"/>
  <c r="R31" i="4"/>
  <c r="R65" i="4" s="1"/>
  <c r="S31" i="4"/>
  <c r="S65" i="4" s="1"/>
  <c r="T31" i="4"/>
  <c r="T65" i="4" s="1"/>
  <c r="U31" i="4"/>
  <c r="U65" i="4" s="1"/>
  <c r="V31" i="4"/>
  <c r="V65" i="4" s="1"/>
  <c r="W31" i="4"/>
  <c r="W65" i="4" s="1"/>
  <c r="X31" i="4"/>
  <c r="Y31" i="4"/>
  <c r="Y65" i="4" s="1"/>
  <c r="Z31" i="4"/>
  <c r="Z65" i="4" s="1"/>
  <c r="AA31" i="4"/>
  <c r="AA65" i="4" s="1"/>
  <c r="AB31" i="4"/>
  <c r="AB65" i="4" s="1"/>
  <c r="AC31" i="4"/>
  <c r="AC65" i="4" s="1"/>
  <c r="AD31" i="4"/>
  <c r="AD65" i="4" s="1"/>
  <c r="AE31" i="4"/>
  <c r="AE65" i="4" s="1"/>
  <c r="AF31" i="4"/>
  <c r="AF65" i="4" s="1"/>
  <c r="E32" i="4"/>
  <c r="E66" i="4" s="1"/>
  <c r="F32" i="4"/>
  <c r="F66" i="4" s="1"/>
  <c r="G32" i="4"/>
  <c r="G66" i="4" s="1"/>
  <c r="H32" i="4"/>
  <c r="I32" i="4"/>
  <c r="I66" i="4" s="1"/>
  <c r="J32" i="4"/>
  <c r="J66" i="4" s="1"/>
  <c r="K32" i="4"/>
  <c r="K66" i="4" s="1"/>
  <c r="L32" i="4"/>
  <c r="L66" i="4" s="1"/>
  <c r="M32" i="4"/>
  <c r="M66" i="4" s="1"/>
  <c r="N32" i="4"/>
  <c r="N66" i="4" s="1"/>
  <c r="O32" i="4"/>
  <c r="O66" i="4" s="1"/>
  <c r="P32" i="4"/>
  <c r="P66" i="4" s="1"/>
  <c r="Q32" i="4"/>
  <c r="Q66" i="4" s="1"/>
  <c r="R32" i="4"/>
  <c r="R66" i="4" s="1"/>
  <c r="S32" i="4"/>
  <c r="S66" i="4" s="1"/>
  <c r="T32" i="4"/>
  <c r="U32" i="4"/>
  <c r="U66" i="4" s="1"/>
  <c r="V32" i="4"/>
  <c r="V66" i="4" s="1"/>
  <c r="W32" i="4"/>
  <c r="W66" i="4" s="1"/>
  <c r="X32" i="4"/>
  <c r="X66" i="4" s="1"/>
  <c r="Y32" i="4"/>
  <c r="Y66" i="4" s="1"/>
  <c r="Z32" i="4"/>
  <c r="Z66" i="4" s="1"/>
  <c r="AA32" i="4"/>
  <c r="AA66" i="4" s="1"/>
  <c r="AB32" i="4"/>
  <c r="AB66" i="4" s="1"/>
  <c r="AC32" i="4"/>
  <c r="AC66" i="4" s="1"/>
  <c r="AD32" i="4"/>
  <c r="AD66" i="4" s="1"/>
  <c r="AE32" i="4"/>
  <c r="AE66" i="4" s="1"/>
  <c r="AF32" i="4"/>
  <c r="E33" i="4"/>
  <c r="E67" i="4" s="1"/>
  <c r="F33" i="4"/>
  <c r="F67" i="4" s="1"/>
  <c r="G33" i="4"/>
  <c r="G67" i="4" s="1"/>
  <c r="H33" i="4"/>
  <c r="H67" i="4" s="1"/>
  <c r="I33" i="4"/>
  <c r="I67" i="4" s="1"/>
  <c r="J33" i="4"/>
  <c r="J67" i="4" s="1"/>
  <c r="K33" i="4"/>
  <c r="K67" i="4" s="1"/>
  <c r="L33" i="4"/>
  <c r="L67" i="4" s="1"/>
  <c r="M33" i="4"/>
  <c r="M67" i="4" s="1"/>
  <c r="N33" i="4"/>
  <c r="N67" i="4" s="1"/>
  <c r="O33" i="4"/>
  <c r="O67" i="4" s="1"/>
  <c r="P33" i="4"/>
  <c r="Q33" i="4"/>
  <c r="Q67" i="4" s="1"/>
  <c r="R33" i="4"/>
  <c r="R67" i="4" s="1"/>
  <c r="S33" i="4"/>
  <c r="S67" i="4" s="1"/>
  <c r="T33" i="4"/>
  <c r="T67" i="4" s="1"/>
  <c r="U33" i="4"/>
  <c r="U67" i="4" s="1"/>
  <c r="V33" i="4"/>
  <c r="V67" i="4" s="1"/>
  <c r="W33" i="4"/>
  <c r="W67" i="4" s="1"/>
  <c r="X33" i="4"/>
  <c r="X67" i="4" s="1"/>
  <c r="Y33" i="4"/>
  <c r="Y67" i="4" s="1"/>
  <c r="Z33" i="4"/>
  <c r="Z67" i="4" s="1"/>
  <c r="AA33" i="4"/>
  <c r="AA67" i="4" s="1"/>
  <c r="AB33" i="4"/>
  <c r="AC33" i="4"/>
  <c r="AC67" i="4" s="1"/>
  <c r="AD33" i="4"/>
  <c r="AD67" i="4" s="1"/>
  <c r="AE33" i="4"/>
  <c r="AE67" i="4" s="1"/>
  <c r="AF33" i="4"/>
  <c r="AF67" i="4" s="1"/>
  <c r="E34" i="4"/>
  <c r="E68" i="4" s="1"/>
  <c r="F34" i="4"/>
  <c r="F68" i="4" s="1"/>
  <c r="G34" i="4"/>
  <c r="G68" i="4" s="1"/>
  <c r="H34" i="4"/>
  <c r="H68" i="4" s="1"/>
  <c r="I34" i="4"/>
  <c r="I68" i="4" s="1"/>
  <c r="J34" i="4"/>
  <c r="J68" i="4" s="1"/>
  <c r="K34" i="4"/>
  <c r="K68" i="4" s="1"/>
  <c r="L34" i="4"/>
  <c r="M34" i="4"/>
  <c r="M68" i="4" s="1"/>
  <c r="N34" i="4"/>
  <c r="N68" i="4" s="1"/>
  <c r="O34" i="4"/>
  <c r="O68" i="4" s="1"/>
  <c r="P34" i="4"/>
  <c r="P68" i="4" s="1"/>
  <c r="Q34" i="4"/>
  <c r="Q68" i="4" s="1"/>
  <c r="R34" i="4"/>
  <c r="R68" i="4" s="1"/>
  <c r="S34" i="4"/>
  <c r="S68" i="4" s="1"/>
  <c r="T34" i="4"/>
  <c r="T68" i="4" s="1"/>
  <c r="U34" i="4"/>
  <c r="U68" i="4" s="1"/>
  <c r="V34" i="4"/>
  <c r="V68" i="4" s="1"/>
  <c r="W34" i="4"/>
  <c r="W68" i="4" s="1"/>
  <c r="X34" i="4"/>
  <c r="Y34" i="4"/>
  <c r="Y68" i="4" s="1"/>
  <c r="Z34" i="4"/>
  <c r="Z68" i="4" s="1"/>
  <c r="AA34" i="4"/>
  <c r="AA68" i="4" s="1"/>
  <c r="AB34" i="4"/>
  <c r="AB68" i="4" s="1"/>
  <c r="AC34" i="4"/>
  <c r="AC68" i="4" s="1"/>
  <c r="AD34" i="4"/>
  <c r="AD68" i="4" s="1"/>
  <c r="AE34" i="4"/>
  <c r="AE68" i="4" s="1"/>
  <c r="AF34" i="4"/>
  <c r="AF68" i="4" s="1"/>
  <c r="E35" i="4"/>
  <c r="E69" i="4" s="1"/>
  <c r="F35" i="4"/>
  <c r="F69" i="4" s="1"/>
  <c r="G35" i="4"/>
  <c r="G69" i="4" s="1"/>
  <c r="H35" i="4"/>
  <c r="I35" i="4"/>
  <c r="I69" i="4" s="1"/>
  <c r="J35" i="4"/>
  <c r="J69" i="4" s="1"/>
  <c r="K35" i="4"/>
  <c r="K69" i="4" s="1"/>
  <c r="L35" i="4"/>
  <c r="L69" i="4" s="1"/>
  <c r="M35" i="4"/>
  <c r="M69" i="4" s="1"/>
  <c r="N35" i="4"/>
  <c r="N69" i="4" s="1"/>
  <c r="O35" i="4"/>
  <c r="O69" i="4" s="1"/>
  <c r="P35" i="4"/>
  <c r="P69" i="4" s="1"/>
  <c r="Q35" i="4"/>
  <c r="Q69" i="4" s="1"/>
  <c r="R35" i="4"/>
  <c r="R69" i="4" s="1"/>
  <c r="S35" i="4"/>
  <c r="S69" i="4" s="1"/>
  <c r="T35" i="4"/>
  <c r="U35" i="4"/>
  <c r="U69" i="4" s="1"/>
  <c r="V35" i="4"/>
  <c r="V69" i="4" s="1"/>
  <c r="W35" i="4"/>
  <c r="W69" i="4" s="1"/>
  <c r="X35" i="4"/>
  <c r="X69" i="4" s="1"/>
  <c r="Y35" i="4"/>
  <c r="Y69" i="4" s="1"/>
  <c r="Z35" i="4"/>
  <c r="Z69" i="4" s="1"/>
  <c r="AA35" i="4"/>
  <c r="AA69" i="4" s="1"/>
  <c r="AB35" i="4"/>
  <c r="AB69" i="4" s="1"/>
  <c r="AC35" i="4"/>
  <c r="AC69" i="4" s="1"/>
  <c r="AD35" i="4"/>
  <c r="AD69" i="4" s="1"/>
  <c r="AE35" i="4"/>
  <c r="AE69" i="4" s="1"/>
  <c r="AF35" i="4"/>
  <c r="F42" i="4"/>
  <c r="G42" i="4"/>
  <c r="H42" i="4"/>
  <c r="I42" i="4"/>
  <c r="J42" i="4"/>
  <c r="K8" i="4"/>
  <c r="K42" i="4" s="1"/>
  <c r="L8" i="4"/>
  <c r="L42" i="4" s="1"/>
  <c r="M8" i="4"/>
  <c r="M42" i="4" s="1"/>
  <c r="N8" i="4"/>
  <c r="N42" i="4" s="1"/>
  <c r="O8" i="4"/>
  <c r="O42" i="4" s="1"/>
  <c r="P8" i="4"/>
  <c r="P42" i="4" s="1"/>
  <c r="Q8" i="4"/>
  <c r="R8" i="4"/>
  <c r="R42" i="4" s="1"/>
  <c r="S8" i="4"/>
  <c r="S42" i="4" s="1"/>
  <c r="T8" i="4"/>
  <c r="T42" i="4" s="1"/>
  <c r="U8" i="4"/>
  <c r="U42" i="4" s="1"/>
  <c r="V8" i="4"/>
  <c r="V42" i="4" s="1"/>
  <c r="W8" i="4"/>
  <c r="W42" i="4" s="1"/>
  <c r="X8" i="4"/>
  <c r="X42" i="4" s="1"/>
  <c r="Y8" i="4"/>
  <c r="Y42" i="4" s="1"/>
  <c r="Z8" i="4"/>
  <c r="Z42" i="4" s="1"/>
  <c r="AA8" i="4"/>
  <c r="AA42" i="4" s="1"/>
  <c r="AB8" i="4"/>
  <c r="AB42" i="4" s="1"/>
  <c r="AC8" i="4"/>
  <c r="AD8" i="4"/>
  <c r="AD42" i="4" s="1"/>
  <c r="AE8" i="4"/>
  <c r="AE42" i="4" s="1"/>
  <c r="AF8" i="4"/>
  <c r="AF42" i="4" s="1"/>
  <c r="E4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2" i="3"/>
  <c r="R96" i="4" l="1"/>
  <c r="V89" i="4"/>
  <c r="P96" i="4"/>
  <c r="AG64" i="4"/>
  <c r="N99" i="4" s="1"/>
  <c r="M97" i="4"/>
  <c r="AG61" i="4"/>
  <c r="Q96" i="4" s="1"/>
  <c r="E96" i="4"/>
  <c r="Q90" i="4"/>
  <c r="AG55" i="4"/>
  <c r="Y90" i="4" s="1"/>
  <c r="E90" i="4"/>
  <c r="AG52" i="4"/>
  <c r="AD87" i="4" s="1"/>
  <c r="F99" i="4"/>
  <c r="F96" i="4"/>
  <c r="R87" i="4"/>
  <c r="R84" i="4"/>
  <c r="AG67" i="4"/>
  <c r="AA102" i="4" s="1"/>
  <c r="I101" i="4"/>
  <c r="AC96" i="4"/>
  <c r="AG58" i="4"/>
  <c r="R93" i="4" s="1"/>
  <c r="M91" i="4"/>
  <c r="AD96" i="4"/>
  <c r="G104" i="4"/>
  <c r="O99" i="4"/>
  <c r="AA96" i="4"/>
  <c r="O96" i="4"/>
  <c r="W91" i="4"/>
  <c r="O87" i="4"/>
  <c r="G86" i="4"/>
  <c r="AE80" i="4"/>
  <c r="S80" i="4"/>
  <c r="H95" i="4"/>
  <c r="AD102" i="4"/>
  <c r="V98" i="4"/>
  <c r="AE95" i="4"/>
  <c r="AD104" i="4"/>
  <c r="Z99" i="4"/>
  <c r="Z96" i="4"/>
  <c r="N96" i="4"/>
  <c r="AD95" i="4"/>
  <c r="R95" i="4"/>
  <c r="F95" i="4"/>
  <c r="V94" i="4"/>
  <c r="Z90" i="4"/>
  <c r="N90" i="4"/>
  <c r="AD89" i="4"/>
  <c r="R89" i="4"/>
  <c r="AF104" i="4"/>
  <c r="J104" i="4"/>
  <c r="AD99" i="4"/>
  <c r="J98" i="4"/>
  <c r="J95" i="4"/>
  <c r="AE104" i="4"/>
  <c r="S95" i="4"/>
  <c r="AC104" i="4"/>
  <c r="Q104" i="4"/>
  <c r="AG69" i="4"/>
  <c r="R104" i="4" s="1"/>
  <c r="E101" i="4"/>
  <c r="AG66" i="4"/>
  <c r="V101" i="4" s="1"/>
  <c r="I100" i="4"/>
  <c r="AG63" i="4"/>
  <c r="G98" i="4" s="1"/>
  <c r="Y96" i="4"/>
  <c r="M96" i="4"/>
  <c r="AC95" i="4"/>
  <c r="Q95" i="4"/>
  <c r="AG60" i="4"/>
  <c r="V95" i="4" s="1"/>
  <c r="E92" i="4"/>
  <c r="AG57" i="4"/>
  <c r="N92" i="4" s="1"/>
  <c r="I91" i="4"/>
  <c r="AG54" i="4"/>
  <c r="I89" i="4" s="1"/>
  <c r="M87" i="4"/>
  <c r="AG51" i="4"/>
  <c r="Z86" i="4" s="1"/>
  <c r="Q83" i="4"/>
  <c r="AG48" i="4"/>
  <c r="V83" i="4" s="1"/>
  <c r="AG45" i="4"/>
  <c r="G80" i="4" s="1"/>
  <c r="T104" i="4"/>
  <c r="P99" i="4"/>
  <c r="X102" i="4"/>
  <c r="T100" i="4"/>
  <c r="AF97" i="4"/>
  <c r="X96" i="4"/>
  <c r="AF94" i="4"/>
  <c r="H91" i="4"/>
  <c r="X90" i="4"/>
  <c r="L90" i="4"/>
  <c r="AB89" i="4"/>
  <c r="X87" i="4"/>
  <c r="L87" i="4"/>
  <c r="X84" i="4"/>
  <c r="AB83" i="4"/>
  <c r="P83" i="4"/>
  <c r="AB80" i="4"/>
  <c r="P80" i="4"/>
  <c r="AF79" i="4"/>
  <c r="T79" i="4"/>
  <c r="H104" i="4"/>
  <c r="AF98" i="4"/>
  <c r="V104" i="4"/>
  <c r="AB98" i="4"/>
  <c r="P95" i="4"/>
  <c r="AA104" i="4"/>
  <c r="O104" i="4"/>
  <c r="W102" i="4"/>
  <c r="K102" i="4"/>
  <c r="O101" i="4"/>
  <c r="AE100" i="4"/>
  <c r="S100" i="4"/>
  <c r="G100" i="4"/>
  <c r="W99" i="4"/>
  <c r="K99" i="4"/>
  <c r="AA98" i="4"/>
  <c r="O98" i="4"/>
  <c r="W96" i="4"/>
  <c r="K96" i="4"/>
  <c r="AA95" i="4"/>
  <c r="O95" i="4"/>
  <c r="AE94" i="4"/>
  <c r="G91" i="4"/>
  <c r="W90" i="4"/>
  <c r="K90" i="4"/>
  <c r="AA89" i="4"/>
  <c r="O89" i="4"/>
  <c r="W87" i="4"/>
  <c r="K87" i="4"/>
  <c r="W84" i="4"/>
  <c r="AA83" i="4"/>
  <c r="T98" i="4"/>
  <c r="P93" i="4"/>
  <c r="P104" i="4"/>
  <c r="AB101" i="4"/>
  <c r="L99" i="4"/>
  <c r="V102" i="4"/>
  <c r="V99" i="4"/>
  <c r="J99" i="4"/>
  <c r="Z98" i="4"/>
  <c r="N98" i="4"/>
  <c r="AD97" i="4"/>
  <c r="V96" i="4"/>
  <c r="J96" i="4"/>
  <c r="Z95" i="4"/>
  <c r="N95" i="4"/>
  <c r="F94" i="4"/>
  <c r="V93" i="4"/>
  <c r="J93" i="4"/>
  <c r="Z92" i="4"/>
  <c r="V90" i="4"/>
  <c r="J90" i="4"/>
  <c r="Z89" i="4"/>
  <c r="N89" i="4"/>
  <c r="AD88" i="4"/>
  <c r="R88" i="4"/>
  <c r="F88" i="4"/>
  <c r="V87" i="4"/>
  <c r="J87" i="4"/>
  <c r="Z83" i="4"/>
  <c r="N83" i="4"/>
  <c r="AD82" i="4"/>
  <c r="R82" i="4"/>
  <c r="F82" i="4"/>
  <c r="Z80" i="4"/>
  <c r="N80" i="4"/>
  <c r="H98" i="4"/>
  <c r="P98" i="4"/>
  <c r="AB95" i="4"/>
  <c r="Z104" i="4"/>
  <c r="M104" i="4"/>
  <c r="Q103" i="4"/>
  <c r="AG68" i="4"/>
  <c r="N103" i="4" s="1"/>
  <c r="U102" i="4"/>
  <c r="I102" i="4"/>
  <c r="AG65" i="4"/>
  <c r="M100" i="4" s="1"/>
  <c r="U99" i="4"/>
  <c r="I99" i="4"/>
  <c r="Y98" i="4"/>
  <c r="M98" i="4"/>
  <c r="AC97" i="4"/>
  <c r="AG62" i="4"/>
  <c r="H97" i="4" s="1"/>
  <c r="U96" i="4"/>
  <c r="I96" i="4"/>
  <c r="Y95" i="4"/>
  <c r="M95" i="4"/>
  <c r="Q94" i="4"/>
  <c r="AG59" i="4"/>
  <c r="N94" i="4" s="1"/>
  <c r="U93" i="4"/>
  <c r="I93" i="4"/>
  <c r="AG56" i="4"/>
  <c r="K91" i="4" s="1"/>
  <c r="U90" i="4"/>
  <c r="I90" i="4"/>
  <c r="Y89" i="4"/>
  <c r="M89" i="4"/>
  <c r="AC88" i="4"/>
  <c r="AG53" i="4"/>
  <c r="Z88" i="4" s="1"/>
  <c r="U87" i="4"/>
  <c r="I87" i="4"/>
  <c r="Y86" i="4"/>
  <c r="M86" i="4"/>
  <c r="Q85" i="4"/>
  <c r="AG50" i="4"/>
  <c r="W85" i="4" s="1"/>
  <c r="U84" i="4"/>
  <c r="Y83" i="4"/>
  <c r="M83" i="4"/>
  <c r="AG47" i="4"/>
  <c r="N82" i="4" s="1"/>
  <c r="Y80" i="4"/>
  <c r="M80" i="4"/>
  <c r="AC79" i="4"/>
  <c r="Q79" i="4"/>
  <c r="AG44" i="4"/>
  <c r="H79" i="4" s="1"/>
  <c r="AB102" i="4"/>
  <c r="X97" i="4"/>
  <c r="AB104" i="4"/>
  <c r="L102" i="4"/>
  <c r="H100" i="4"/>
  <c r="T97" i="4"/>
  <c r="N104" i="4"/>
  <c r="J102" i="4"/>
  <c r="X104" i="4"/>
  <c r="AF102" i="4"/>
  <c r="H102" i="4"/>
  <c r="L101" i="4"/>
  <c r="P100" i="4"/>
  <c r="T99" i="4"/>
  <c r="X98" i="4"/>
  <c r="L98" i="4"/>
  <c r="P97" i="4"/>
  <c r="AF96" i="4"/>
  <c r="T96" i="4"/>
  <c r="H96" i="4"/>
  <c r="X95" i="4"/>
  <c r="L95" i="4"/>
  <c r="P94" i="4"/>
  <c r="AF93" i="4"/>
  <c r="T93" i="4"/>
  <c r="H93" i="4"/>
  <c r="L92" i="4"/>
  <c r="AB91" i="4"/>
  <c r="P91" i="4"/>
  <c r="AF90" i="4"/>
  <c r="T90" i="4"/>
  <c r="H90" i="4"/>
  <c r="X89" i="4"/>
  <c r="L89" i="4"/>
  <c r="AB88" i="4"/>
  <c r="P88" i="4"/>
  <c r="AF87" i="4"/>
  <c r="T87" i="4"/>
  <c r="X86" i="4"/>
  <c r="L86" i="4"/>
  <c r="X83" i="4"/>
  <c r="L83" i="4"/>
  <c r="AB82" i="4"/>
  <c r="P82" i="4"/>
  <c r="X80" i="4"/>
  <c r="L80" i="4"/>
  <c r="AB79" i="4"/>
  <c r="P79" i="4"/>
  <c r="P102" i="4"/>
  <c r="L97" i="4"/>
  <c r="X99" i="4"/>
  <c r="L96" i="4"/>
  <c r="Z101" i="4"/>
  <c r="Y104" i="4"/>
  <c r="AG42" i="4"/>
  <c r="AD77" i="4" s="1"/>
  <c r="L104" i="4"/>
  <c r="P103" i="4"/>
  <c r="T102" i="4"/>
  <c r="X101" i="4"/>
  <c r="AB100" i="4"/>
  <c r="AF99" i="4"/>
  <c r="H99" i="4"/>
  <c r="AB97" i="4"/>
  <c r="W104" i="4"/>
  <c r="K104" i="4"/>
  <c r="AA103" i="4"/>
  <c r="AE102" i="4"/>
  <c r="S102" i="4"/>
  <c r="G102" i="4"/>
  <c r="W101" i="4"/>
  <c r="K101" i="4"/>
  <c r="AA100" i="4"/>
  <c r="O100" i="4"/>
  <c r="AE99" i="4"/>
  <c r="S99" i="4"/>
  <c r="G99" i="4"/>
  <c r="W98" i="4"/>
  <c r="K98" i="4"/>
  <c r="AA97" i="4"/>
  <c r="O97" i="4"/>
  <c r="AE96" i="4"/>
  <c r="S96" i="4"/>
  <c r="G96" i="4"/>
  <c r="W95" i="4"/>
  <c r="K95" i="4"/>
  <c r="AA94" i="4"/>
  <c r="O94" i="4"/>
  <c r="AE93" i="4"/>
  <c r="S93" i="4"/>
  <c r="G93" i="4"/>
  <c r="W92" i="4"/>
  <c r="K92" i="4"/>
  <c r="AA91" i="4"/>
  <c r="O91" i="4"/>
  <c r="AE90" i="4"/>
  <c r="S90" i="4"/>
  <c r="G90" i="4"/>
  <c r="W89" i="4"/>
  <c r="K89" i="4"/>
  <c r="AA88" i="4"/>
  <c r="O88" i="4"/>
  <c r="AE87" i="4"/>
  <c r="AF101" i="4"/>
  <c r="AB96" i="4"/>
  <c r="AF92" i="4"/>
  <c r="L91" i="4"/>
  <c r="AF89" i="4"/>
  <c r="X88" i="4"/>
  <c r="N86" i="4"/>
  <c r="I84" i="4"/>
  <c r="G82" i="4"/>
  <c r="K81" i="4"/>
  <c r="AA80" i="4"/>
  <c r="O80" i="4"/>
  <c r="AE79" i="4"/>
  <c r="S79" i="4"/>
  <c r="G79" i="4"/>
  <c r="AB93" i="4"/>
  <c r="H92" i="4"/>
  <c r="P90" i="4"/>
  <c r="T89" i="4"/>
  <c r="AA87" i="4"/>
  <c r="AD84" i="4"/>
  <c r="W82" i="4"/>
  <c r="X91" i="4"/>
  <c r="L88" i="4"/>
  <c r="T95" i="4"/>
  <c r="T92" i="4"/>
  <c r="AB90" i="4"/>
  <c r="H89" i="4"/>
  <c r="H87" i="4"/>
  <c r="O83" i="4"/>
  <c r="S87" i="4"/>
  <c r="G87" i="4"/>
  <c r="W86" i="4"/>
  <c r="K86" i="4"/>
  <c r="W83" i="4"/>
  <c r="K83" i="4"/>
  <c r="AA82" i="4"/>
  <c r="O82" i="4"/>
  <c r="AE81" i="4"/>
  <c r="S81" i="4"/>
  <c r="G81" i="4"/>
  <c r="W80" i="4"/>
  <c r="K80" i="4"/>
  <c r="AA79" i="4"/>
  <c r="O79" i="4"/>
  <c r="N79" i="4"/>
  <c r="Q87" i="4"/>
  <c r="E87" i="4"/>
  <c r="U86" i="4"/>
  <c r="I86" i="4"/>
  <c r="AG49" i="4"/>
  <c r="L84" i="4" s="1"/>
  <c r="U83" i="4"/>
  <c r="I83" i="4"/>
  <c r="Y82" i="4"/>
  <c r="M82" i="4"/>
  <c r="AC81" i="4"/>
  <c r="Q81" i="4"/>
  <c r="AG46" i="4"/>
  <c r="V81" i="4" s="1"/>
  <c r="U80" i="4"/>
  <c r="I80" i="4"/>
  <c r="Y79" i="4"/>
  <c r="M79" i="4"/>
  <c r="AG43" i="4"/>
  <c r="X78" i="4" s="1"/>
  <c r="J80" i="4"/>
  <c r="AB87" i="4"/>
  <c r="P87" i="4"/>
  <c r="AF86" i="4"/>
  <c r="T86" i="4"/>
  <c r="H86" i="4"/>
  <c r="X85" i="4"/>
  <c r="L85" i="4"/>
  <c r="AB84" i="4"/>
  <c r="P84" i="4"/>
  <c r="AF83" i="4"/>
  <c r="T83" i="4"/>
  <c r="H83" i="4"/>
  <c r="X82" i="4"/>
  <c r="L82" i="4"/>
  <c r="AB81" i="4"/>
  <c r="P81" i="4"/>
  <c r="AF80" i="4"/>
  <c r="T80" i="4"/>
  <c r="H80" i="4"/>
  <c r="X79" i="4"/>
  <c r="L79" i="4"/>
  <c r="AD81" i="4"/>
  <c r="Z87" i="4"/>
  <c r="N87" i="4"/>
  <c r="AD86" i="4"/>
  <c r="R86" i="4"/>
  <c r="F86" i="4"/>
  <c r="V85" i="4"/>
  <c r="J85" i="4"/>
  <c r="Z84" i="4"/>
  <c r="N84" i="4"/>
  <c r="AD83" i="4"/>
  <c r="R83" i="4"/>
  <c r="F83" i="4"/>
  <c r="V82" i="4"/>
  <c r="J82" i="4"/>
  <c r="Z81" i="4"/>
  <c r="N81" i="4"/>
  <c r="AD80" i="4"/>
  <c r="R80" i="4"/>
  <c r="F80" i="4"/>
  <c r="V79" i="4"/>
  <c r="J79" i="4"/>
  <c r="F81" i="4"/>
  <c r="Y87" i="4"/>
  <c r="AC86" i="4"/>
  <c r="Q86" i="4"/>
  <c r="E86" i="4"/>
  <c r="U85" i="4"/>
  <c r="I85" i="4"/>
  <c r="Y84" i="4"/>
  <c r="AC83" i="4"/>
  <c r="E83" i="4"/>
  <c r="I82" i="4"/>
  <c r="Y81" i="4"/>
  <c r="M81" i="4"/>
  <c r="AC80" i="4"/>
  <c r="Q80" i="4"/>
  <c r="E80" i="4"/>
  <c r="U79" i="4"/>
  <c r="I79" i="4"/>
  <c r="AB78" i="4" l="1"/>
  <c r="N78" i="4"/>
  <c r="Z78" i="4"/>
  <c r="P78" i="4"/>
  <c r="Q78" i="4"/>
  <c r="R78" i="4"/>
  <c r="Y77" i="4"/>
  <c r="H77" i="4"/>
  <c r="L77" i="4"/>
  <c r="Q13" i="5"/>
  <c r="Q48" i="5" s="1"/>
  <c r="AC13" i="5"/>
  <c r="AC48" i="5" s="1"/>
  <c r="R13" i="5"/>
  <c r="R48" i="5" s="1"/>
  <c r="AD13" i="5"/>
  <c r="AD48" i="5" s="1"/>
  <c r="G13" i="5"/>
  <c r="S13" i="5"/>
  <c r="S48" i="5" s="1"/>
  <c r="AE13" i="5"/>
  <c r="AE48" i="5" s="1"/>
  <c r="H13" i="5"/>
  <c r="H48" i="5" s="1"/>
  <c r="T13" i="5"/>
  <c r="T48" i="5" s="1"/>
  <c r="AF13" i="5"/>
  <c r="AF48" i="5" s="1"/>
  <c r="I13" i="5"/>
  <c r="I48" i="5" s="1"/>
  <c r="U13" i="5"/>
  <c r="U48" i="5" s="1"/>
  <c r="AG13" i="5"/>
  <c r="AG48" i="5" s="1"/>
  <c r="J13" i="5"/>
  <c r="J48" i="5" s="1"/>
  <c r="V13" i="5"/>
  <c r="V48" i="5" s="1"/>
  <c r="AH13" i="5"/>
  <c r="AH48" i="5" s="1"/>
  <c r="K13" i="5"/>
  <c r="K48" i="5" s="1"/>
  <c r="W13" i="5"/>
  <c r="W48" i="5" s="1"/>
  <c r="L13" i="5"/>
  <c r="L48" i="5" s="1"/>
  <c r="X13" i="5"/>
  <c r="X48" i="5" s="1"/>
  <c r="M13" i="5"/>
  <c r="M48" i="5" s="1"/>
  <c r="Y13" i="5"/>
  <c r="Y48" i="5" s="1"/>
  <c r="N13" i="5"/>
  <c r="N48" i="5" s="1"/>
  <c r="Z13" i="5"/>
  <c r="Z48" i="5" s="1"/>
  <c r="O13" i="5"/>
  <c r="O48" i="5" s="1"/>
  <c r="AA13" i="5"/>
  <c r="AA48" i="5" s="1"/>
  <c r="P13" i="5"/>
  <c r="P48" i="5" s="1"/>
  <c r="AB13" i="5"/>
  <c r="AB48" i="5" s="1"/>
  <c r="W77" i="4"/>
  <c r="E103" i="4"/>
  <c r="G85" i="4"/>
  <c r="X77" i="4"/>
  <c r="H85" i="4"/>
  <c r="M84" i="4"/>
  <c r="U91" i="4"/>
  <c r="U100" i="4"/>
  <c r="J100" i="4"/>
  <c r="O77" i="4"/>
  <c r="Z100" i="4"/>
  <c r="S86" i="4"/>
  <c r="G92" i="4"/>
  <c r="W100" i="4"/>
  <c r="I92" i="4"/>
  <c r="E102" i="4"/>
  <c r="Z85" i="4"/>
  <c r="N97" i="4"/>
  <c r="I98" i="4"/>
  <c r="F78" i="4"/>
  <c r="R90" i="4"/>
  <c r="P9" i="5"/>
  <c r="P44" i="5" s="1"/>
  <c r="Q9" i="5"/>
  <c r="Q44" i="5" s="1"/>
  <c r="G9" i="5"/>
  <c r="S9" i="5"/>
  <c r="S44" i="5" s="1"/>
  <c r="I9" i="5"/>
  <c r="I44" i="5" s="1"/>
  <c r="K9" i="5"/>
  <c r="K44" i="5" s="1"/>
  <c r="U9" i="5"/>
  <c r="U44" i="5" s="1"/>
  <c r="AG9" i="5"/>
  <c r="AG44" i="5" s="1"/>
  <c r="V9" i="5"/>
  <c r="V44" i="5" s="1"/>
  <c r="AH9" i="5"/>
  <c r="AH44" i="5" s="1"/>
  <c r="W9" i="5"/>
  <c r="W44" i="5" s="1"/>
  <c r="X9" i="5"/>
  <c r="X44" i="5" s="1"/>
  <c r="H9" i="5"/>
  <c r="H44" i="5" s="1"/>
  <c r="Y9" i="5"/>
  <c r="Y44" i="5" s="1"/>
  <c r="J9" i="5"/>
  <c r="J44" i="5" s="1"/>
  <c r="Z9" i="5"/>
  <c r="Z44" i="5" s="1"/>
  <c r="L9" i="5"/>
  <c r="L44" i="5" s="1"/>
  <c r="AA9" i="5"/>
  <c r="AA44" i="5" s="1"/>
  <c r="M9" i="5"/>
  <c r="M44" i="5" s="1"/>
  <c r="AB9" i="5"/>
  <c r="AB44" i="5" s="1"/>
  <c r="N9" i="5"/>
  <c r="N44" i="5" s="1"/>
  <c r="AC9" i="5"/>
  <c r="AC44" i="5" s="1"/>
  <c r="O9" i="5"/>
  <c r="O44" i="5" s="1"/>
  <c r="AD9" i="5"/>
  <c r="AD44" i="5" s="1"/>
  <c r="R9" i="5"/>
  <c r="R44" i="5" s="1"/>
  <c r="AE9" i="5"/>
  <c r="AE44" i="5" s="1"/>
  <c r="T9" i="5"/>
  <c r="T44" i="5" s="1"/>
  <c r="AF9" i="5"/>
  <c r="AF44" i="5" s="1"/>
  <c r="E78" i="4"/>
  <c r="I77" i="4"/>
  <c r="H78" i="4"/>
  <c r="E85" i="4"/>
  <c r="E94" i="4"/>
  <c r="L103" i="4"/>
  <c r="S85" i="4"/>
  <c r="T85" i="4"/>
  <c r="N77" i="4"/>
  <c r="V100" i="4"/>
  <c r="O81" i="4"/>
  <c r="AE86" i="4"/>
  <c r="S92" i="4"/>
  <c r="AE101" i="4"/>
  <c r="E93" i="4"/>
  <c r="V86" i="4"/>
  <c r="Z79" i="4"/>
  <c r="N91" i="4"/>
  <c r="T78" i="4"/>
  <c r="J78" i="4"/>
  <c r="AE77" i="4"/>
  <c r="AE85" i="4"/>
  <c r="AF85" i="4"/>
  <c r="I18" i="5"/>
  <c r="I53" i="5" s="1"/>
  <c r="U18" i="5"/>
  <c r="U53" i="5" s="1"/>
  <c r="AG18" i="5"/>
  <c r="AG53" i="5" s="1"/>
  <c r="J18" i="5"/>
  <c r="J53" i="5" s="1"/>
  <c r="V18" i="5"/>
  <c r="V53" i="5" s="1"/>
  <c r="AH18" i="5"/>
  <c r="AH53" i="5" s="1"/>
  <c r="K18" i="5"/>
  <c r="K53" i="5" s="1"/>
  <c r="W18" i="5"/>
  <c r="W53" i="5" s="1"/>
  <c r="L18" i="5"/>
  <c r="L53" i="5" s="1"/>
  <c r="X18" i="5"/>
  <c r="X53" i="5" s="1"/>
  <c r="M18" i="5"/>
  <c r="M53" i="5" s="1"/>
  <c r="Y18" i="5"/>
  <c r="Y53" i="5" s="1"/>
  <c r="N18" i="5"/>
  <c r="N53" i="5" s="1"/>
  <c r="Z18" i="5"/>
  <c r="Z53" i="5" s="1"/>
  <c r="O18" i="5"/>
  <c r="O53" i="5" s="1"/>
  <c r="AA18" i="5"/>
  <c r="AA53" i="5" s="1"/>
  <c r="P18" i="5"/>
  <c r="P53" i="5" s="1"/>
  <c r="AB18" i="5"/>
  <c r="AB53" i="5" s="1"/>
  <c r="Q18" i="5"/>
  <c r="Q53" i="5" s="1"/>
  <c r="AC18" i="5"/>
  <c r="AC53" i="5" s="1"/>
  <c r="R18" i="5"/>
  <c r="R53" i="5" s="1"/>
  <c r="AD18" i="5"/>
  <c r="AD53" i="5" s="1"/>
  <c r="G18" i="5"/>
  <c r="S18" i="5"/>
  <c r="S53" i="5" s="1"/>
  <c r="AE18" i="5"/>
  <c r="AE53" i="5" s="1"/>
  <c r="H18" i="5"/>
  <c r="H53" i="5" s="1"/>
  <c r="T18" i="5"/>
  <c r="T53" i="5" s="1"/>
  <c r="AF18" i="5"/>
  <c r="AF53" i="5" s="1"/>
  <c r="I27" i="5"/>
  <c r="I62" i="5" s="1"/>
  <c r="U27" i="5"/>
  <c r="U62" i="5" s="1"/>
  <c r="AG27" i="5"/>
  <c r="AG62" i="5" s="1"/>
  <c r="J27" i="5"/>
  <c r="J62" i="5" s="1"/>
  <c r="V27" i="5"/>
  <c r="V62" i="5" s="1"/>
  <c r="AH27" i="5"/>
  <c r="AH62" i="5" s="1"/>
  <c r="K27" i="5"/>
  <c r="K62" i="5" s="1"/>
  <c r="W27" i="5"/>
  <c r="W62" i="5" s="1"/>
  <c r="L27" i="5"/>
  <c r="L62" i="5" s="1"/>
  <c r="X27" i="5"/>
  <c r="X62" i="5" s="1"/>
  <c r="M27" i="5"/>
  <c r="M62" i="5" s="1"/>
  <c r="Y27" i="5"/>
  <c r="Y62" i="5" s="1"/>
  <c r="N27" i="5"/>
  <c r="N62" i="5" s="1"/>
  <c r="Z27" i="5"/>
  <c r="Z62" i="5" s="1"/>
  <c r="O27" i="5"/>
  <c r="O62" i="5" s="1"/>
  <c r="AA27" i="5"/>
  <c r="AA62" i="5" s="1"/>
  <c r="P27" i="5"/>
  <c r="P62" i="5" s="1"/>
  <c r="AB27" i="5"/>
  <c r="AB62" i="5" s="1"/>
  <c r="Q27" i="5"/>
  <c r="Q62" i="5" s="1"/>
  <c r="R27" i="5"/>
  <c r="R62" i="5" s="1"/>
  <c r="AD27" i="5"/>
  <c r="AD62" i="5" s="1"/>
  <c r="G27" i="5"/>
  <c r="S27" i="5"/>
  <c r="S62" i="5" s="1"/>
  <c r="AE27" i="5"/>
  <c r="AE62" i="5" s="1"/>
  <c r="H27" i="5"/>
  <c r="H62" i="5" s="1"/>
  <c r="T27" i="5"/>
  <c r="T62" i="5" s="1"/>
  <c r="AC27" i="5"/>
  <c r="AC62" i="5" s="1"/>
  <c r="AF27" i="5"/>
  <c r="AF62" i="5" s="1"/>
  <c r="Z77" i="4"/>
  <c r="Z106" i="4" s="1"/>
  <c r="F101" i="4"/>
  <c r="W97" i="4"/>
  <c r="G77" i="4"/>
  <c r="AA81" i="4"/>
  <c r="AE92" i="4"/>
  <c r="AC102" i="4"/>
  <c r="J101" i="4"/>
  <c r="AC90" i="4"/>
  <c r="E99" i="4"/>
  <c r="R81" i="4"/>
  <c r="J92" i="4"/>
  <c r="M78" i="4"/>
  <c r="AC78" i="4"/>
  <c r="G78" i="4"/>
  <c r="T77" i="4"/>
  <c r="T106" i="4" s="1"/>
  <c r="E77" i="4"/>
  <c r="AF78" i="4"/>
  <c r="H84" i="4"/>
  <c r="AB94" i="4"/>
  <c r="I81" i="4"/>
  <c r="AC85" i="4"/>
  <c r="AC94" i="4"/>
  <c r="V78" i="4"/>
  <c r="R94" i="4"/>
  <c r="O86" i="4"/>
  <c r="S91" i="4"/>
  <c r="AA101" i="4"/>
  <c r="AF100" i="4"/>
  <c r="L81" i="4"/>
  <c r="P86" i="4"/>
  <c r="T91" i="4"/>
  <c r="I88" i="4"/>
  <c r="Q92" i="4"/>
  <c r="I97" i="4"/>
  <c r="Q101" i="4"/>
  <c r="AA77" i="4"/>
  <c r="F102" i="4"/>
  <c r="J91" i="4"/>
  <c r="R101" i="4"/>
  <c r="AE98" i="4"/>
  <c r="K82" i="4"/>
  <c r="K88" i="4"/>
  <c r="O93" i="4"/>
  <c r="P77" i="4"/>
  <c r="AC93" i="4"/>
  <c r="Y103" i="4"/>
  <c r="N88" i="4"/>
  <c r="Z103" i="4"/>
  <c r="Y91" i="4"/>
  <c r="AC99" i="4"/>
  <c r="Z82" i="4"/>
  <c r="F93" i="4"/>
  <c r="Y78" i="4"/>
  <c r="S78" i="4"/>
  <c r="AF77" i="4"/>
  <c r="T84" i="4"/>
  <c r="U81" i="4"/>
  <c r="E91" i="4"/>
  <c r="V77" i="4"/>
  <c r="V106" i="4" s="1"/>
  <c r="F79" i="4"/>
  <c r="J84" i="4"/>
  <c r="AD94" i="4"/>
  <c r="F100" i="4"/>
  <c r="AA86" i="4"/>
  <c r="AE91" i="4"/>
  <c r="G97" i="4"/>
  <c r="T103" i="4"/>
  <c r="X81" i="4"/>
  <c r="AB86" i="4"/>
  <c r="AF91" i="4"/>
  <c r="M77" i="4"/>
  <c r="U88" i="4"/>
  <c r="AC92" i="4"/>
  <c r="U97" i="4"/>
  <c r="AC101" i="4"/>
  <c r="V91" i="4"/>
  <c r="AD101" i="4"/>
  <c r="K100" i="4"/>
  <c r="L100" i="4"/>
  <c r="G83" i="4"/>
  <c r="W88" i="4"/>
  <c r="AA93" i="4"/>
  <c r="Y94" i="4"/>
  <c r="U104" i="4"/>
  <c r="J89" i="4"/>
  <c r="AF95" i="4"/>
  <c r="U92" i="4"/>
  <c r="Y100" i="4"/>
  <c r="J83" i="4"/>
  <c r="AD93" i="4"/>
  <c r="E84" i="4"/>
  <c r="AE78" i="4"/>
  <c r="G84" i="4"/>
  <c r="K78" i="4"/>
  <c r="AF84" i="4"/>
  <c r="AB103" i="4"/>
  <c r="E100" i="4"/>
  <c r="F103" i="4"/>
  <c r="R79" i="4"/>
  <c r="V84" i="4"/>
  <c r="R100" i="4"/>
  <c r="X103" i="4"/>
  <c r="O92" i="4"/>
  <c r="S97" i="4"/>
  <c r="H82" i="4"/>
  <c r="P92" i="4"/>
  <c r="L94" i="4"/>
  <c r="M93" i="4"/>
  <c r="M102" i="4"/>
  <c r="K97" i="4"/>
  <c r="X94" i="4"/>
  <c r="F92" i="4"/>
  <c r="J97" i="4"/>
  <c r="N102" i="4"/>
  <c r="S101" i="4"/>
  <c r="Q77" i="4"/>
  <c r="S83" i="4"/>
  <c r="G89" i="4"/>
  <c r="K94" i="4"/>
  <c r="N100" i="4"/>
  <c r="U95" i="4"/>
  <c r="R77" i="4"/>
  <c r="R106" i="4" s="1"/>
  <c r="F90" i="4"/>
  <c r="H101" i="4"/>
  <c r="Q93" i="4"/>
  <c r="U101" i="4"/>
  <c r="F84" i="4"/>
  <c r="Z94" i="4"/>
  <c r="I12" i="5"/>
  <c r="I47" i="5" s="1"/>
  <c r="U12" i="5"/>
  <c r="U47" i="5" s="1"/>
  <c r="AG12" i="5"/>
  <c r="AG47" i="5" s="1"/>
  <c r="J12" i="5"/>
  <c r="J47" i="5" s="1"/>
  <c r="V12" i="5"/>
  <c r="V47" i="5" s="1"/>
  <c r="AH12" i="5"/>
  <c r="AH47" i="5" s="1"/>
  <c r="K12" i="5"/>
  <c r="K47" i="5" s="1"/>
  <c r="W12" i="5"/>
  <c r="W47" i="5" s="1"/>
  <c r="L12" i="5"/>
  <c r="L47" i="5" s="1"/>
  <c r="X12" i="5"/>
  <c r="X47" i="5" s="1"/>
  <c r="M12" i="5"/>
  <c r="M47" i="5" s="1"/>
  <c r="Y12" i="5"/>
  <c r="Y47" i="5" s="1"/>
  <c r="N12" i="5"/>
  <c r="N47" i="5" s="1"/>
  <c r="Z12" i="5"/>
  <c r="Z47" i="5" s="1"/>
  <c r="O12" i="5"/>
  <c r="O47" i="5" s="1"/>
  <c r="AA12" i="5"/>
  <c r="AA47" i="5" s="1"/>
  <c r="P12" i="5"/>
  <c r="P47" i="5" s="1"/>
  <c r="AB12" i="5"/>
  <c r="AB47" i="5" s="1"/>
  <c r="Q12" i="5"/>
  <c r="Q47" i="5" s="1"/>
  <c r="AC12" i="5"/>
  <c r="AC47" i="5" s="1"/>
  <c r="R12" i="5"/>
  <c r="R47" i="5" s="1"/>
  <c r="AD12" i="5"/>
  <c r="AD47" i="5" s="1"/>
  <c r="G12" i="5"/>
  <c r="S12" i="5"/>
  <c r="S47" i="5" s="1"/>
  <c r="AE12" i="5"/>
  <c r="AE47" i="5" s="1"/>
  <c r="H12" i="5"/>
  <c r="H47" i="5" s="1"/>
  <c r="T12" i="5"/>
  <c r="T47" i="5" s="1"/>
  <c r="AF12" i="5"/>
  <c r="AF47" i="5" s="1"/>
  <c r="Q84" i="4"/>
  <c r="S84" i="4"/>
  <c r="W78" i="4"/>
  <c r="R103" i="4"/>
  <c r="P85" i="4"/>
  <c r="E82" i="4"/>
  <c r="Q91" i="4"/>
  <c r="Q100" i="4"/>
  <c r="AD79" i="4"/>
  <c r="F85" i="4"/>
  <c r="AD100" i="4"/>
  <c r="W81" i="4"/>
  <c r="AA92" i="4"/>
  <c r="AE97" i="4"/>
  <c r="G103" i="4"/>
  <c r="T82" i="4"/>
  <c r="AB92" i="4"/>
  <c r="E89" i="4"/>
  <c r="Y93" i="4"/>
  <c r="E98" i="4"/>
  <c r="Y102" i="4"/>
  <c r="S98" i="4"/>
  <c r="AB99" i="4"/>
  <c r="R92" i="4"/>
  <c r="V97" i="4"/>
  <c r="Z102" i="4"/>
  <c r="O102" i="4"/>
  <c r="O78" i="4"/>
  <c r="AE83" i="4"/>
  <c r="S89" i="4"/>
  <c r="W94" i="4"/>
  <c r="R102" i="4"/>
  <c r="T101" i="4"/>
  <c r="AD90" i="4"/>
  <c r="M94" i="4"/>
  <c r="Q102" i="4"/>
  <c r="N85" i="4"/>
  <c r="P6" i="5"/>
  <c r="P41" i="5" s="1"/>
  <c r="AB6" i="5"/>
  <c r="AB41" i="5" s="1"/>
  <c r="Q6" i="5"/>
  <c r="Q41" i="5" s="1"/>
  <c r="AC6" i="5"/>
  <c r="AC41" i="5" s="1"/>
  <c r="R6" i="5"/>
  <c r="R41" i="5" s="1"/>
  <c r="AD6" i="5"/>
  <c r="AD41" i="5" s="1"/>
  <c r="G6" i="5"/>
  <c r="S6" i="5"/>
  <c r="S41" i="5" s="1"/>
  <c r="AE6" i="5"/>
  <c r="AE41" i="5" s="1"/>
  <c r="H6" i="5"/>
  <c r="H41" i="5" s="1"/>
  <c r="T6" i="5"/>
  <c r="T41" i="5" s="1"/>
  <c r="AF6" i="5"/>
  <c r="AF41" i="5" s="1"/>
  <c r="I6" i="5"/>
  <c r="I41" i="5" s="1"/>
  <c r="U6" i="5"/>
  <c r="U41" i="5" s="1"/>
  <c r="AG6" i="5"/>
  <c r="AG41" i="5" s="1"/>
  <c r="J6" i="5"/>
  <c r="J41" i="5" s="1"/>
  <c r="V6" i="5"/>
  <c r="V41" i="5" s="1"/>
  <c r="AH6" i="5"/>
  <c r="AH41" i="5" s="1"/>
  <c r="K6" i="5"/>
  <c r="K41" i="5" s="1"/>
  <c r="W6" i="5"/>
  <c r="W41" i="5" s="1"/>
  <c r="M6" i="5"/>
  <c r="M41" i="5" s="1"/>
  <c r="Y6" i="5"/>
  <c r="Y41" i="5" s="1"/>
  <c r="N6" i="5"/>
  <c r="N41" i="5" s="1"/>
  <c r="Z6" i="5"/>
  <c r="Z41" i="5" s="1"/>
  <c r="L6" i="5"/>
  <c r="L41" i="5" s="1"/>
  <c r="O6" i="5"/>
  <c r="O41" i="5" s="1"/>
  <c r="X6" i="5"/>
  <c r="X41" i="5" s="1"/>
  <c r="AA6" i="5"/>
  <c r="AA41" i="5" s="1"/>
  <c r="AC84" i="4"/>
  <c r="AE84" i="4"/>
  <c r="K77" i="4"/>
  <c r="AB85" i="4"/>
  <c r="U77" i="4"/>
  <c r="I78" i="4"/>
  <c r="Q82" i="4"/>
  <c r="AC91" i="4"/>
  <c r="AC100" i="4"/>
  <c r="R85" i="4"/>
  <c r="F91" i="4"/>
  <c r="N101" i="4"/>
  <c r="S82" i="4"/>
  <c r="G88" i="4"/>
  <c r="K93" i="4"/>
  <c r="S103" i="4"/>
  <c r="AF82" i="4"/>
  <c r="H88" i="4"/>
  <c r="L93" i="4"/>
  <c r="Q89" i="4"/>
  <c r="I94" i="4"/>
  <c r="Q98" i="4"/>
  <c r="I103" i="4"/>
  <c r="AA99" i="4"/>
  <c r="AD92" i="4"/>
  <c r="F98" i="4"/>
  <c r="J103" i="4"/>
  <c r="K103" i="4"/>
  <c r="AA78" i="4"/>
  <c r="O84" i="4"/>
  <c r="AE89" i="4"/>
  <c r="G95" i="4"/>
  <c r="S77" i="4"/>
  <c r="Y97" i="4"/>
  <c r="AD78" i="4"/>
  <c r="AD106" i="4" s="1"/>
  <c r="Z91" i="4"/>
  <c r="AC87" i="4"/>
  <c r="I95" i="4"/>
  <c r="M103" i="4"/>
  <c r="J86" i="4"/>
  <c r="Z97" i="4"/>
  <c r="M85" i="4"/>
  <c r="O85" i="4"/>
  <c r="H81" i="4"/>
  <c r="AC103" i="4"/>
  <c r="U78" i="4"/>
  <c r="AC82" i="4"/>
  <c r="M92" i="4"/>
  <c r="M101" i="4"/>
  <c r="AD85" i="4"/>
  <c r="R91" i="4"/>
  <c r="AE82" i="4"/>
  <c r="S88" i="4"/>
  <c r="W93" i="4"/>
  <c r="AE103" i="4"/>
  <c r="L78" i="4"/>
  <c r="T88" i="4"/>
  <c r="X93" i="4"/>
  <c r="AC89" i="4"/>
  <c r="U94" i="4"/>
  <c r="AC98" i="4"/>
  <c r="U103" i="4"/>
  <c r="G101" i="4"/>
  <c r="J88" i="4"/>
  <c r="N93" i="4"/>
  <c r="R98" i="4"/>
  <c r="V103" i="4"/>
  <c r="S104" i="4"/>
  <c r="K79" i="4"/>
  <c r="AA84" i="4"/>
  <c r="O90" i="4"/>
  <c r="X100" i="4"/>
  <c r="U98" i="4"/>
  <c r="V80" i="4"/>
  <c r="V92" i="4"/>
  <c r="M88" i="4"/>
  <c r="Q22" i="5"/>
  <c r="Q57" i="5" s="1"/>
  <c r="AC22" i="5"/>
  <c r="AC57" i="5" s="1"/>
  <c r="R22" i="5"/>
  <c r="R57" i="5" s="1"/>
  <c r="AD22" i="5"/>
  <c r="AD57" i="5" s="1"/>
  <c r="G22" i="5"/>
  <c r="S22" i="5"/>
  <c r="S57" i="5" s="1"/>
  <c r="AE22" i="5"/>
  <c r="AE57" i="5" s="1"/>
  <c r="H22" i="5"/>
  <c r="H57" i="5" s="1"/>
  <c r="T22" i="5"/>
  <c r="T57" i="5" s="1"/>
  <c r="AF22" i="5"/>
  <c r="AF57" i="5" s="1"/>
  <c r="I22" i="5"/>
  <c r="I57" i="5" s="1"/>
  <c r="U22" i="5"/>
  <c r="U57" i="5" s="1"/>
  <c r="AG22" i="5"/>
  <c r="AG57" i="5" s="1"/>
  <c r="J22" i="5"/>
  <c r="J57" i="5" s="1"/>
  <c r="V22" i="5"/>
  <c r="V57" i="5" s="1"/>
  <c r="AH22" i="5"/>
  <c r="AH57" i="5" s="1"/>
  <c r="K22" i="5"/>
  <c r="K57" i="5" s="1"/>
  <c r="W22" i="5"/>
  <c r="W57" i="5" s="1"/>
  <c r="L22" i="5"/>
  <c r="L57" i="5" s="1"/>
  <c r="X22" i="5"/>
  <c r="X57" i="5" s="1"/>
  <c r="M22" i="5"/>
  <c r="M57" i="5" s="1"/>
  <c r="Y22" i="5"/>
  <c r="Y57" i="5" s="1"/>
  <c r="N22" i="5"/>
  <c r="N57" i="5" s="1"/>
  <c r="Z22" i="5"/>
  <c r="Z57" i="5" s="1"/>
  <c r="O22" i="5"/>
  <c r="O57" i="5" s="1"/>
  <c r="AA22" i="5"/>
  <c r="AA57" i="5" s="1"/>
  <c r="P22" i="5"/>
  <c r="P57" i="5" s="1"/>
  <c r="AB22" i="5"/>
  <c r="AB57" i="5" s="1"/>
  <c r="I104" i="4"/>
  <c r="F87" i="4"/>
  <c r="R99" i="4"/>
  <c r="E81" i="4"/>
  <c r="Y85" i="4"/>
  <c r="AA85" i="4"/>
  <c r="T81" i="4"/>
  <c r="J77" i="4"/>
  <c r="E88" i="4"/>
  <c r="Y92" i="4"/>
  <c r="E97" i="4"/>
  <c r="Y101" i="4"/>
  <c r="P101" i="4"/>
  <c r="J81" i="4"/>
  <c r="AD91" i="4"/>
  <c r="F97" i="4"/>
  <c r="AD103" i="4"/>
  <c r="AE88" i="4"/>
  <c r="G94" i="4"/>
  <c r="AF88" i="4"/>
  <c r="H94" i="4"/>
  <c r="U82" i="4"/>
  <c r="M90" i="4"/>
  <c r="M99" i="4"/>
  <c r="V88" i="4"/>
  <c r="Z93" i="4"/>
  <c r="AD98" i="4"/>
  <c r="F104" i="4"/>
  <c r="AB77" i="4"/>
  <c r="W79" i="4"/>
  <c r="K85" i="4"/>
  <c r="AA90" i="4"/>
  <c r="AC77" i="4"/>
  <c r="Q99" i="4"/>
  <c r="Y88" i="4"/>
  <c r="F77" i="4"/>
  <c r="F106" i="4" s="1"/>
  <c r="Q16" i="5"/>
  <c r="Q51" i="5" s="1"/>
  <c r="AC16" i="5"/>
  <c r="AC51" i="5" s="1"/>
  <c r="R16" i="5"/>
  <c r="R51" i="5" s="1"/>
  <c r="AD16" i="5"/>
  <c r="AD51" i="5" s="1"/>
  <c r="G16" i="5"/>
  <c r="S16" i="5"/>
  <c r="S51" i="5" s="1"/>
  <c r="AE16" i="5"/>
  <c r="AE51" i="5" s="1"/>
  <c r="H16" i="5"/>
  <c r="H51" i="5" s="1"/>
  <c r="T16" i="5"/>
  <c r="T51" i="5" s="1"/>
  <c r="AF16" i="5"/>
  <c r="AF51" i="5" s="1"/>
  <c r="I16" i="5"/>
  <c r="I51" i="5" s="1"/>
  <c r="U16" i="5"/>
  <c r="U51" i="5" s="1"/>
  <c r="AG16" i="5"/>
  <c r="AG51" i="5" s="1"/>
  <c r="J16" i="5"/>
  <c r="J51" i="5" s="1"/>
  <c r="V16" i="5"/>
  <c r="V51" i="5" s="1"/>
  <c r="AH16" i="5"/>
  <c r="AH51" i="5" s="1"/>
  <c r="K16" i="5"/>
  <c r="K51" i="5" s="1"/>
  <c r="W16" i="5"/>
  <c r="W51" i="5" s="1"/>
  <c r="L16" i="5"/>
  <c r="L51" i="5" s="1"/>
  <c r="X16" i="5"/>
  <c r="X51" i="5" s="1"/>
  <c r="M16" i="5"/>
  <c r="M51" i="5" s="1"/>
  <c r="Y16" i="5"/>
  <c r="Y51" i="5" s="1"/>
  <c r="N16" i="5"/>
  <c r="N51" i="5" s="1"/>
  <c r="Z16" i="5"/>
  <c r="Z51" i="5" s="1"/>
  <c r="O16" i="5"/>
  <c r="O51" i="5" s="1"/>
  <c r="AA16" i="5"/>
  <c r="AA51" i="5" s="1"/>
  <c r="P16" i="5"/>
  <c r="P51" i="5" s="1"/>
  <c r="AB16" i="5"/>
  <c r="AB51" i="5" s="1"/>
  <c r="O103" i="4"/>
  <c r="H103" i="4"/>
  <c r="AF81" i="4"/>
  <c r="X92" i="4"/>
  <c r="E79" i="4"/>
  <c r="Q88" i="4"/>
  <c r="Q97" i="4"/>
  <c r="AF103" i="4"/>
  <c r="R97" i="4"/>
  <c r="K84" i="4"/>
  <c r="S94" i="4"/>
  <c r="P89" i="4"/>
  <c r="T94" i="4"/>
  <c r="E95" i="4"/>
  <c r="Y99" i="4"/>
  <c r="E104" i="4"/>
  <c r="W103" i="4"/>
  <c r="F89" i="4"/>
  <c r="J94" i="4"/>
  <c r="U89" i="4"/>
  <c r="J106" i="4" l="1"/>
  <c r="Y106" i="4"/>
  <c r="L106" i="4"/>
  <c r="AF106" i="4"/>
  <c r="N106" i="4"/>
  <c r="H106" i="4"/>
  <c r="X106" i="4"/>
  <c r="H5" i="5"/>
  <c r="H40" i="5" s="1"/>
  <c r="T5" i="5"/>
  <c r="T40" i="5" s="1"/>
  <c r="AF5" i="5"/>
  <c r="AF40" i="5" s="1"/>
  <c r="I5" i="5"/>
  <c r="I40" i="5" s="1"/>
  <c r="U5" i="5"/>
  <c r="U40" i="5" s="1"/>
  <c r="AG5" i="5"/>
  <c r="AG40" i="5" s="1"/>
  <c r="J5" i="5"/>
  <c r="J40" i="5" s="1"/>
  <c r="V5" i="5"/>
  <c r="V40" i="5" s="1"/>
  <c r="AH5" i="5"/>
  <c r="AH40" i="5" s="1"/>
  <c r="K5" i="5"/>
  <c r="K40" i="5" s="1"/>
  <c r="W5" i="5"/>
  <c r="W40" i="5" s="1"/>
  <c r="L5" i="5"/>
  <c r="L40" i="5" s="1"/>
  <c r="X5" i="5"/>
  <c r="X40" i="5" s="1"/>
  <c r="M5" i="5"/>
  <c r="M40" i="5" s="1"/>
  <c r="Y5" i="5"/>
  <c r="Y40" i="5" s="1"/>
  <c r="N5" i="5"/>
  <c r="N40" i="5" s="1"/>
  <c r="Z5" i="5"/>
  <c r="Z40" i="5" s="1"/>
  <c r="O5" i="5"/>
  <c r="O40" i="5" s="1"/>
  <c r="AA5" i="5"/>
  <c r="AA40" i="5" s="1"/>
  <c r="Q5" i="5"/>
  <c r="Q40" i="5" s="1"/>
  <c r="AC5" i="5"/>
  <c r="AC40" i="5" s="1"/>
  <c r="R5" i="5"/>
  <c r="R40" i="5" s="1"/>
  <c r="AD5" i="5"/>
  <c r="AD40" i="5" s="1"/>
  <c r="G5" i="5"/>
  <c r="P5" i="5"/>
  <c r="P40" i="5" s="1"/>
  <c r="S5" i="5"/>
  <c r="S40" i="5" s="1"/>
  <c r="AB5" i="5"/>
  <c r="AB40" i="5" s="1"/>
  <c r="AE5" i="5"/>
  <c r="AE40" i="5" s="1"/>
  <c r="G62" i="5"/>
  <c r="AI62" i="5" s="1"/>
  <c r="AI27" i="5"/>
  <c r="Q19" i="5"/>
  <c r="Q54" i="5" s="1"/>
  <c r="AC19" i="5"/>
  <c r="AC54" i="5" s="1"/>
  <c r="R19" i="5"/>
  <c r="R54" i="5" s="1"/>
  <c r="AD19" i="5"/>
  <c r="AD54" i="5" s="1"/>
  <c r="G19" i="5"/>
  <c r="S19" i="5"/>
  <c r="S54" i="5" s="1"/>
  <c r="AE19" i="5"/>
  <c r="AE54" i="5" s="1"/>
  <c r="H19" i="5"/>
  <c r="H54" i="5" s="1"/>
  <c r="T19" i="5"/>
  <c r="T54" i="5" s="1"/>
  <c r="AF19" i="5"/>
  <c r="AF54" i="5" s="1"/>
  <c r="I19" i="5"/>
  <c r="I54" i="5" s="1"/>
  <c r="U19" i="5"/>
  <c r="U54" i="5" s="1"/>
  <c r="AG19" i="5"/>
  <c r="AG54" i="5" s="1"/>
  <c r="J19" i="5"/>
  <c r="J54" i="5" s="1"/>
  <c r="V19" i="5"/>
  <c r="V54" i="5" s="1"/>
  <c r="AH19" i="5"/>
  <c r="AH54" i="5" s="1"/>
  <c r="K19" i="5"/>
  <c r="K54" i="5" s="1"/>
  <c r="W19" i="5"/>
  <c r="W54" i="5" s="1"/>
  <c r="L19" i="5"/>
  <c r="L54" i="5" s="1"/>
  <c r="X19" i="5"/>
  <c r="X54" i="5" s="1"/>
  <c r="M19" i="5"/>
  <c r="M54" i="5" s="1"/>
  <c r="Y19" i="5"/>
  <c r="Y54" i="5" s="1"/>
  <c r="N19" i="5"/>
  <c r="N54" i="5" s="1"/>
  <c r="Z19" i="5"/>
  <c r="Z54" i="5" s="1"/>
  <c r="O19" i="5"/>
  <c r="O54" i="5" s="1"/>
  <c r="AA19" i="5"/>
  <c r="AA54" i="5" s="1"/>
  <c r="P19" i="5"/>
  <c r="P54" i="5" s="1"/>
  <c r="AB19" i="5"/>
  <c r="AB54" i="5" s="1"/>
  <c r="I30" i="5"/>
  <c r="I65" i="5" s="1"/>
  <c r="U30" i="5"/>
  <c r="U65" i="5" s="1"/>
  <c r="AG30" i="5"/>
  <c r="AG65" i="5" s="1"/>
  <c r="J30" i="5"/>
  <c r="J65" i="5" s="1"/>
  <c r="V30" i="5"/>
  <c r="V65" i="5" s="1"/>
  <c r="AH30" i="5"/>
  <c r="AH65" i="5" s="1"/>
  <c r="K30" i="5"/>
  <c r="K65" i="5" s="1"/>
  <c r="W30" i="5"/>
  <c r="W65" i="5" s="1"/>
  <c r="L30" i="5"/>
  <c r="L65" i="5" s="1"/>
  <c r="X30" i="5"/>
  <c r="X65" i="5" s="1"/>
  <c r="M30" i="5"/>
  <c r="M65" i="5" s="1"/>
  <c r="Y30" i="5"/>
  <c r="Y65" i="5" s="1"/>
  <c r="N30" i="5"/>
  <c r="N65" i="5" s="1"/>
  <c r="Z30" i="5"/>
  <c r="Z65" i="5" s="1"/>
  <c r="O30" i="5"/>
  <c r="O65" i="5" s="1"/>
  <c r="AA30" i="5"/>
  <c r="AA65" i="5" s="1"/>
  <c r="P30" i="5"/>
  <c r="P65" i="5" s="1"/>
  <c r="AB30" i="5"/>
  <c r="AB65" i="5" s="1"/>
  <c r="G30" i="5"/>
  <c r="R30" i="5"/>
  <c r="R65" i="5" s="1"/>
  <c r="S30" i="5"/>
  <c r="S65" i="5" s="1"/>
  <c r="T30" i="5"/>
  <c r="T65" i="5" s="1"/>
  <c r="AC30" i="5"/>
  <c r="AC65" i="5" s="1"/>
  <c r="AD30" i="5"/>
  <c r="AD65" i="5" s="1"/>
  <c r="AE30" i="5"/>
  <c r="AE65" i="5" s="1"/>
  <c r="AF30" i="5"/>
  <c r="AF65" i="5" s="1"/>
  <c r="H30" i="5"/>
  <c r="H65" i="5" s="1"/>
  <c r="Q30" i="5"/>
  <c r="Q65" i="5" s="1"/>
  <c r="I106" i="4"/>
  <c r="AC106" i="4"/>
  <c r="M14" i="5"/>
  <c r="M49" i="5" s="1"/>
  <c r="Y14" i="5"/>
  <c r="Y49" i="5" s="1"/>
  <c r="N14" i="5"/>
  <c r="N49" i="5" s="1"/>
  <c r="Z14" i="5"/>
  <c r="Z49" i="5" s="1"/>
  <c r="O14" i="5"/>
  <c r="O49" i="5" s="1"/>
  <c r="AA14" i="5"/>
  <c r="AA49" i="5" s="1"/>
  <c r="P14" i="5"/>
  <c r="P49" i="5" s="1"/>
  <c r="AB14" i="5"/>
  <c r="AB49" i="5" s="1"/>
  <c r="Q14" i="5"/>
  <c r="Q49" i="5" s="1"/>
  <c r="AC14" i="5"/>
  <c r="AC49" i="5" s="1"/>
  <c r="R14" i="5"/>
  <c r="R49" i="5" s="1"/>
  <c r="AD14" i="5"/>
  <c r="AD49" i="5" s="1"/>
  <c r="G14" i="5"/>
  <c r="S14" i="5"/>
  <c r="S49" i="5" s="1"/>
  <c r="AE14" i="5"/>
  <c r="AE49" i="5" s="1"/>
  <c r="H14" i="5"/>
  <c r="H49" i="5" s="1"/>
  <c r="T14" i="5"/>
  <c r="T49" i="5" s="1"/>
  <c r="AF14" i="5"/>
  <c r="AF49" i="5" s="1"/>
  <c r="I14" i="5"/>
  <c r="I49" i="5" s="1"/>
  <c r="U14" i="5"/>
  <c r="U49" i="5" s="1"/>
  <c r="AG14" i="5"/>
  <c r="AG49" i="5" s="1"/>
  <c r="J14" i="5"/>
  <c r="J49" i="5" s="1"/>
  <c r="V14" i="5"/>
  <c r="V49" i="5" s="1"/>
  <c r="AH14" i="5"/>
  <c r="AH49" i="5" s="1"/>
  <c r="K14" i="5"/>
  <c r="K49" i="5" s="1"/>
  <c r="W14" i="5"/>
  <c r="W49" i="5" s="1"/>
  <c r="L14" i="5"/>
  <c r="L49" i="5" s="1"/>
  <c r="X14" i="5"/>
  <c r="X49" i="5" s="1"/>
  <c r="K106" i="4"/>
  <c r="AI6" i="5"/>
  <c r="G41" i="5"/>
  <c r="AI41" i="5" s="1"/>
  <c r="I24" i="5"/>
  <c r="I59" i="5" s="1"/>
  <c r="U24" i="5"/>
  <c r="U59" i="5" s="1"/>
  <c r="AG24" i="5"/>
  <c r="AG59" i="5" s="1"/>
  <c r="J24" i="5"/>
  <c r="J59" i="5" s="1"/>
  <c r="V24" i="5"/>
  <c r="V59" i="5" s="1"/>
  <c r="AH24" i="5"/>
  <c r="AH59" i="5" s="1"/>
  <c r="K24" i="5"/>
  <c r="K59" i="5" s="1"/>
  <c r="W24" i="5"/>
  <c r="W59" i="5" s="1"/>
  <c r="L24" i="5"/>
  <c r="L59" i="5" s="1"/>
  <c r="X24" i="5"/>
  <c r="X59" i="5" s="1"/>
  <c r="M24" i="5"/>
  <c r="M59" i="5" s="1"/>
  <c r="Y24" i="5"/>
  <c r="Y59" i="5" s="1"/>
  <c r="N24" i="5"/>
  <c r="N59" i="5" s="1"/>
  <c r="Z24" i="5"/>
  <c r="Z59" i="5" s="1"/>
  <c r="O24" i="5"/>
  <c r="O59" i="5" s="1"/>
  <c r="AA24" i="5"/>
  <c r="AA59" i="5" s="1"/>
  <c r="P24" i="5"/>
  <c r="P59" i="5" s="1"/>
  <c r="AB24" i="5"/>
  <c r="AB59" i="5" s="1"/>
  <c r="Q24" i="5"/>
  <c r="Q59" i="5" s="1"/>
  <c r="AC24" i="5"/>
  <c r="AC59" i="5" s="1"/>
  <c r="R24" i="5"/>
  <c r="R59" i="5" s="1"/>
  <c r="AD24" i="5"/>
  <c r="AD59" i="5" s="1"/>
  <c r="G24" i="5"/>
  <c r="S24" i="5"/>
  <c r="S59" i="5" s="1"/>
  <c r="AE24" i="5"/>
  <c r="AE59" i="5" s="1"/>
  <c r="T24" i="5"/>
  <c r="T59" i="5" s="1"/>
  <c r="AF24" i="5"/>
  <c r="AF59" i="5" s="1"/>
  <c r="H24" i="5"/>
  <c r="H59" i="5" s="1"/>
  <c r="M106" i="4"/>
  <c r="G106" i="4"/>
  <c r="L4" i="5"/>
  <c r="L39" i="5" s="1"/>
  <c r="X4" i="5"/>
  <c r="X39" i="5" s="1"/>
  <c r="M4" i="5"/>
  <c r="M39" i="5" s="1"/>
  <c r="Y4" i="5"/>
  <c r="Y39" i="5" s="1"/>
  <c r="N4" i="5"/>
  <c r="N39" i="5" s="1"/>
  <c r="Z4" i="5"/>
  <c r="Z39" i="5" s="1"/>
  <c r="O4" i="5"/>
  <c r="O39" i="5" s="1"/>
  <c r="AA4" i="5"/>
  <c r="AA39" i="5" s="1"/>
  <c r="P4" i="5"/>
  <c r="P39" i="5" s="1"/>
  <c r="AB4" i="5"/>
  <c r="AB39" i="5" s="1"/>
  <c r="Q4" i="5"/>
  <c r="Q39" i="5" s="1"/>
  <c r="AC4" i="5"/>
  <c r="AC39" i="5" s="1"/>
  <c r="R4" i="5"/>
  <c r="R39" i="5" s="1"/>
  <c r="AD4" i="5"/>
  <c r="AD39" i="5" s="1"/>
  <c r="G4" i="5"/>
  <c r="S4" i="5"/>
  <c r="S39" i="5" s="1"/>
  <c r="AE4" i="5"/>
  <c r="AE39" i="5" s="1"/>
  <c r="I4" i="5"/>
  <c r="I39" i="5" s="1"/>
  <c r="U4" i="5"/>
  <c r="U39" i="5" s="1"/>
  <c r="AG4" i="5"/>
  <c r="AG39" i="5" s="1"/>
  <c r="J4" i="5"/>
  <c r="J39" i="5" s="1"/>
  <c r="V4" i="5"/>
  <c r="V39" i="5" s="1"/>
  <c r="AH4" i="5"/>
  <c r="AH39" i="5" s="1"/>
  <c r="H4" i="5"/>
  <c r="H39" i="5" s="1"/>
  <c r="K4" i="5"/>
  <c r="K39" i="5" s="1"/>
  <c r="T4" i="5"/>
  <c r="T39" i="5" s="1"/>
  <c r="W4" i="5"/>
  <c r="W39" i="5" s="1"/>
  <c r="AF4" i="5"/>
  <c r="AF39" i="5" s="1"/>
  <c r="Q28" i="5"/>
  <c r="Q63" i="5" s="1"/>
  <c r="AC28" i="5"/>
  <c r="AC63" i="5" s="1"/>
  <c r="R28" i="5"/>
  <c r="R63" i="5" s="1"/>
  <c r="AD28" i="5"/>
  <c r="AD63" i="5" s="1"/>
  <c r="G28" i="5"/>
  <c r="S28" i="5"/>
  <c r="S63" i="5" s="1"/>
  <c r="AE28" i="5"/>
  <c r="AE63" i="5" s="1"/>
  <c r="H28" i="5"/>
  <c r="H63" i="5" s="1"/>
  <c r="T28" i="5"/>
  <c r="T63" i="5" s="1"/>
  <c r="AF28" i="5"/>
  <c r="AF63" i="5" s="1"/>
  <c r="I28" i="5"/>
  <c r="I63" i="5" s="1"/>
  <c r="U28" i="5"/>
  <c r="U63" i="5" s="1"/>
  <c r="AG28" i="5"/>
  <c r="AG63" i="5" s="1"/>
  <c r="J28" i="5"/>
  <c r="J63" i="5" s="1"/>
  <c r="V28" i="5"/>
  <c r="V63" i="5" s="1"/>
  <c r="AH28" i="5"/>
  <c r="AH63" i="5" s="1"/>
  <c r="K28" i="5"/>
  <c r="K63" i="5" s="1"/>
  <c r="W28" i="5"/>
  <c r="W63" i="5" s="1"/>
  <c r="L28" i="5"/>
  <c r="L63" i="5" s="1"/>
  <c r="X28" i="5"/>
  <c r="X63" i="5" s="1"/>
  <c r="N28" i="5"/>
  <c r="N63" i="5" s="1"/>
  <c r="Z28" i="5"/>
  <c r="Z63" i="5" s="1"/>
  <c r="O28" i="5"/>
  <c r="O63" i="5" s="1"/>
  <c r="AA28" i="5"/>
  <c r="AA63" i="5" s="1"/>
  <c r="Y28" i="5"/>
  <c r="Y63" i="5" s="1"/>
  <c r="AB28" i="5"/>
  <c r="AB63" i="5" s="1"/>
  <c r="M28" i="5"/>
  <c r="M63" i="5" s="1"/>
  <c r="P28" i="5"/>
  <c r="P63" i="5" s="1"/>
  <c r="Q106" i="4"/>
  <c r="M17" i="5"/>
  <c r="M52" i="5" s="1"/>
  <c r="Y17" i="5"/>
  <c r="Y52" i="5" s="1"/>
  <c r="N17" i="5"/>
  <c r="N52" i="5" s="1"/>
  <c r="Z17" i="5"/>
  <c r="Z52" i="5" s="1"/>
  <c r="O17" i="5"/>
  <c r="O52" i="5" s="1"/>
  <c r="AA17" i="5"/>
  <c r="AA52" i="5" s="1"/>
  <c r="P17" i="5"/>
  <c r="P52" i="5" s="1"/>
  <c r="AB17" i="5"/>
  <c r="AB52" i="5" s="1"/>
  <c r="Q17" i="5"/>
  <c r="Q52" i="5" s="1"/>
  <c r="AC17" i="5"/>
  <c r="AC52" i="5" s="1"/>
  <c r="R17" i="5"/>
  <c r="R52" i="5" s="1"/>
  <c r="AD17" i="5"/>
  <c r="AD52" i="5" s="1"/>
  <c r="G17" i="5"/>
  <c r="S17" i="5"/>
  <c r="S52" i="5" s="1"/>
  <c r="AE17" i="5"/>
  <c r="AE52" i="5" s="1"/>
  <c r="H17" i="5"/>
  <c r="H52" i="5" s="1"/>
  <c r="T17" i="5"/>
  <c r="T52" i="5" s="1"/>
  <c r="AF17" i="5"/>
  <c r="AF52" i="5" s="1"/>
  <c r="I17" i="5"/>
  <c r="I52" i="5" s="1"/>
  <c r="U17" i="5"/>
  <c r="U52" i="5" s="1"/>
  <c r="AG17" i="5"/>
  <c r="AG52" i="5" s="1"/>
  <c r="J17" i="5"/>
  <c r="J52" i="5" s="1"/>
  <c r="V17" i="5"/>
  <c r="V52" i="5" s="1"/>
  <c r="AH17" i="5"/>
  <c r="AH52" i="5" s="1"/>
  <c r="K17" i="5"/>
  <c r="K52" i="5" s="1"/>
  <c r="W17" i="5"/>
  <c r="W52" i="5" s="1"/>
  <c r="L17" i="5"/>
  <c r="L52" i="5" s="1"/>
  <c r="X17" i="5"/>
  <c r="X52" i="5" s="1"/>
  <c r="AA106" i="4"/>
  <c r="AI18" i="5"/>
  <c r="G53" i="5"/>
  <c r="AI53" i="5" s="1"/>
  <c r="U106" i="4"/>
  <c r="I21" i="5"/>
  <c r="I56" i="5" s="1"/>
  <c r="U21" i="5"/>
  <c r="U56" i="5" s="1"/>
  <c r="AG21" i="5"/>
  <c r="AG56" i="5" s="1"/>
  <c r="J21" i="5"/>
  <c r="J56" i="5" s="1"/>
  <c r="V21" i="5"/>
  <c r="V56" i="5" s="1"/>
  <c r="AH21" i="5"/>
  <c r="AH56" i="5" s="1"/>
  <c r="K21" i="5"/>
  <c r="K56" i="5" s="1"/>
  <c r="W21" i="5"/>
  <c r="W56" i="5" s="1"/>
  <c r="L21" i="5"/>
  <c r="L56" i="5" s="1"/>
  <c r="X21" i="5"/>
  <c r="X56" i="5" s="1"/>
  <c r="M21" i="5"/>
  <c r="M56" i="5" s="1"/>
  <c r="Y21" i="5"/>
  <c r="Y56" i="5" s="1"/>
  <c r="N21" i="5"/>
  <c r="N56" i="5" s="1"/>
  <c r="Z21" i="5"/>
  <c r="Z56" i="5" s="1"/>
  <c r="O21" i="5"/>
  <c r="O56" i="5" s="1"/>
  <c r="AA21" i="5"/>
  <c r="AA56" i="5" s="1"/>
  <c r="P21" i="5"/>
  <c r="P56" i="5" s="1"/>
  <c r="AB21" i="5"/>
  <c r="AB56" i="5" s="1"/>
  <c r="Q21" i="5"/>
  <c r="Q56" i="5" s="1"/>
  <c r="AC21" i="5"/>
  <c r="AC56" i="5" s="1"/>
  <c r="R21" i="5"/>
  <c r="R56" i="5" s="1"/>
  <c r="AD21" i="5"/>
  <c r="AD56" i="5" s="1"/>
  <c r="G21" i="5"/>
  <c r="S21" i="5"/>
  <c r="S56" i="5" s="1"/>
  <c r="AE21" i="5"/>
  <c r="AE56" i="5" s="1"/>
  <c r="H21" i="5"/>
  <c r="H56" i="5" s="1"/>
  <c r="T21" i="5"/>
  <c r="T56" i="5" s="1"/>
  <c r="AF21" i="5"/>
  <c r="AF56" i="5" s="1"/>
  <c r="AI16" i="5"/>
  <c r="G51" i="5"/>
  <c r="AI51" i="5" s="1"/>
  <c r="AB106" i="4"/>
  <c r="I15" i="5"/>
  <c r="I50" i="5" s="1"/>
  <c r="U15" i="5"/>
  <c r="U50" i="5" s="1"/>
  <c r="AG15" i="5"/>
  <c r="AG50" i="5" s="1"/>
  <c r="J15" i="5"/>
  <c r="J50" i="5" s="1"/>
  <c r="V15" i="5"/>
  <c r="V50" i="5" s="1"/>
  <c r="AH15" i="5"/>
  <c r="AH50" i="5" s="1"/>
  <c r="K15" i="5"/>
  <c r="K50" i="5" s="1"/>
  <c r="W15" i="5"/>
  <c r="W50" i="5" s="1"/>
  <c r="L15" i="5"/>
  <c r="L50" i="5" s="1"/>
  <c r="X15" i="5"/>
  <c r="X50" i="5" s="1"/>
  <c r="M15" i="5"/>
  <c r="M50" i="5" s="1"/>
  <c r="Y15" i="5"/>
  <c r="Y50" i="5" s="1"/>
  <c r="N15" i="5"/>
  <c r="N50" i="5" s="1"/>
  <c r="Z15" i="5"/>
  <c r="Z50" i="5" s="1"/>
  <c r="O15" i="5"/>
  <c r="O50" i="5" s="1"/>
  <c r="AA15" i="5"/>
  <c r="AA50" i="5" s="1"/>
  <c r="P15" i="5"/>
  <c r="P50" i="5" s="1"/>
  <c r="AB15" i="5"/>
  <c r="AB50" i="5" s="1"/>
  <c r="Q15" i="5"/>
  <c r="Q50" i="5" s="1"/>
  <c r="AC15" i="5"/>
  <c r="AC50" i="5" s="1"/>
  <c r="R15" i="5"/>
  <c r="R50" i="5" s="1"/>
  <c r="AD15" i="5"/>
  <c r="AD50" i="5" s="1"/>
  <c r="G15" i="5"/>
  <c r="S15" i="5"/>
  <c r="S50" i="5" s="1"/>
  <c r="AE15" i="5"/>
  <c r="AE50" i="5" s="1"/>
  <c r="H15" i="5"/>
  <c r="H50" i="5" s="1"/>
  <c r="T15" i="5"/>
  <c r="T50" i="5" s="1"/>
  <c r="AF15" i="5"/>
  <c r="AF50" i="5" s="1"/>
  <c r="H8" i="5"/>
  <c r="H43" i="5" s="1"/>
  <c r="T8" i="5"/>
  <c r="T43" i="5" s="1"/>
  <c r="AF8" i="5"/>
  <c r="AF43" i="5" s="1"/>
  <c r="I8" i="5"/>
  <c r="I43" i="5" s="1"/>
  <c r="U8" i="5"/>
  <c r="U43" i="5" s="1"/>
  <c r="AG8" i="5"/>
  <c r="AG43" i="5" s="1"/>
  <c r="J8" i="5"/>
  <c r="J43" i="5" s="1"/>
  <c r="V8" i="5"/>
  <c r="V43" i="5" s="1"/>
  <c r="K8" i="5"/>
  <c r="K43" i="5" s="1"/>
  <c r="W8" i="5"/>
  <c r="W43" i="5" s="1"/>
  <c r="L8" i="5"/>
  <c r="L43" i="5" s="1"/>
  <c r="M8" i="5"/>
  <c r="M43" i="5" s="1"/>
  <c r="Y8" i="5"/>
  <c r="Y43" i="5" s="1"/>
  <c r="N8" i="5"/>
  <c r="N43" i="5" s="1"/>
  <c r="O8" i="5"/>
  <c r="O43" i="5" s="1"/>
  <c r="AA8" i="5"/>
  <c r="AA43" i="5" s="1"/>
  <c r="AC8" i="5"/>
  <c r="AC43" i="5" s="1"/>
  <c r="AD8" i="5"/>
  <c r="AD43" i="5" s="1"/>
  <c r="AE8" i="5"/>
  <c r="AE43" i="5" s="1"/>
  <c r="AH8" i="5"/>
  <c r="AH43" i="5" s="1"/>
  <c r="G8" i="5"/>
  <c r="P8" i="5"/>
  <c r="P43" i="5" s="1"/>
  <c r="Q8" i="5"/>
  <c r="Q43" i="5" s="1"/>
  <c r="R8" i="5"/>
  <c r="R43" i="5" s="1"/>
  <c r="S8" i="5"/>
  <c r="S43" i="5" s="1"/>
  <c r="X8" i="5"/>
  <c r="X43" i="5" s="1"/>
  <c r="Z8" i="5"/>
  <c r="Z43" i="5" s="1"/>
  <c r="AB8" i="5"/>
  <c r="AB43" i="5" s="1"/>
  <c r="G47" i="5"/>
  <c r="AI47" i="5" s="1"/>
  <c r="AI12" i="5"/>
  <c r="Q10" i="5"/>
  <c r="Q45" i="5" s="1"/>
  <c r="AC10" i="5"/>
  <c r="AC45" i="5" s="1"/>
  <c r="R10" i="5"/>
  <c r="R45" i="5" s="1"/>
  <c r="AD10" i="5"/>
  <c r="AD45" i="5" s="1"/>
  <c r="G10" i="5"/>
  <c r="S10" i="5"/>
  <c r="S45" i="5" s="1"/>
  <c r="AE10" i="5"/>
  <c r="AE45" i="5" s="1"/>
  <c r="H10" i="5"/>
  <c r="H45" i="5" s="1"/>
  <c r="T10" i="5"/>
  <c r="T45" i="5" s="1"/>
  <c r="AF10" i="5"/>
  <c r="AF45" i="5" s="1"/>
  <c r="I10" i="5"/>
  <c r="I45" i="5" s="1"/>
  <c r="U10" i="5"/>
  <c r="U45" i="5" s="1"/>
  <c r="AG10" i="5"/>
  <c r="AG45" i="5" s="1"/>
  <c r="J10" i="5"/>
  <c r="J45" i="5" s="1"/>
  <c r="V10" i="5"/>
  <c r="V45" i="5" s="1"/>
  <c r="AH10" i="5"/>
  <c r="AH45" i="5" s="1"/>
  <c r="K10" i="5"/>
  <c r="K45" i="5" s="1"/>
  <c r="W10" i="5"/>
  <c r="W45" i="5" s="1"/>
  <c r="L10" i="5"/>
  <c r="L45" i="5" s="1"/>
  <c r="X10" i="5"/>
  <c r="X45" i="5" s="1"/>
  <c r="M10" i="5"/>
  <c r="M45" i="5" s="1"/>
  <c r="Y10" i="5"/>
  <c r="Y45" i="5" s="1"/>
  <c r="N10" i="5"/>
  <c r="N45" i="5" s="1"/>
  <c r="Z10" i="5"/>
  <c r="Z45" i="5" s="1"/>
  <c r="O10" i="5"/>
  <c r="O45" i="5" s="1"/>
  <c r="AA10" i="5"/>
  <c r="AA45" i="5" s="1"/>
  <c r="P10" i="5"/>
  <c r="P45" i="5" s="1"/>
  <c r="AB10" i="5"/>
  <c r="AB45" i="5" s="1"/>
  <c r="AE106" i="4"/>
  <c r="M29" i="5"/>
  <c r="M64" i="5" s="1"/>
  <c r="Y29" i="5"/>
  <c r="Y64" i="5" s="1"/>
  <c r="N29" i="5"/>
  <c r="N64" i="5" s="1"/>
  <c r="Z29" i="5"/>
  <c r="Z64" i="5" s="1"/>
  <c r="O29" i="5"/>
  <c r="O64" i="5" s="1"/>
  <c r="AA29" i="5"/>
  <c r="AA64" i="5" s="1"/>
  <c r="P29" i="5"/>
  <c r="P64" i="5" s="1"/>
  <c r="AB29" i="5"/>
  <c r="AB64" i="5" s="1"/>
  <c r="Q29" i="5"/>
  <c r="Q64" i="5" s="1"/>
  <c r="AC29" i="5"/>
  <c r="AC64" i="5" s="1"/>
  <c r="R29" i="5"/>
  <c r="R64" i="5" s="1"/>
  <c r="AD29" i="5"/>
  <c r="AD64" i="5" s="1"/>
  <c r="G29" i="5"/>
  <c r="S29" i="5"/>
  <c r="S64" i="5" s="1"/>
  <c r="AE29" i="5"/>
  <c r="AE64" i="5" s="1"/>
  <c r="H29" i="5"/>
  <c r="H64" i="5" s="1"/>
  <c r="T29" i="5"/>
  <c r="T64" i="5" s="1"/>
  <c r="AF29" i="5"/>
  <c r="AF64" i="5" s="1"/>
  <c r="K29" i="5"/>
  <c r="K64" i="5" s="1"/>
  <c r="W29" i="5"/>
  <c r="W64" i="5" s="1"/>
  <c r="I29" i="5"/>
  <c r="I64" i="5" s="1"/>
  <c r="J29" i="5"/>
  <c r="J64" i="5" s="1"/>
  <c r="L29" i="5"/>
  <c r="L64" i="5" s="1"/>
  <c r="U29" i="5"/>
  <c r="U64" i="5" s="1"/>
  <c r="V29" i="5"/>
  <c r="V64" i="5" s="1"/>
  <c r="X29" i="5"/>
  <c r="X64" i="5" s="1"/>
  <c r="AG29" i="5"/>
  <c r="AG64" i="5" s="1"/>
  <c r="AH29" i="5"/>
  <c r="AH64" i="5" s="1"/>
  <c r="M11" i="5"/>
  <c r="M46" i="5" s="1"/>
  <c r="Y11" i="5"/>
  <c r="Y46" i="5" s="1"/>
  <c r="N11" i="5"/>
  <c r="N46" i="5" s="1"/>
  <c r="Z11" i="5"/>
  <c r="Z46" i="5" s="1"/>
  <c r="O11" i="5"/>
  <c r="O46" i="5" s="1"/>
  <c r="AA11" i="5"/>
  <c r="AA46" i="5" s="1"/>
  <c r="P11" i="5"/>
  <c r="P46" i="5" s="1"/>
  <c r="AB11" i="5"/>
  <c r="AB46" i="5" s="1"/>
  <c r="Q11" i="5"/>
  <c r="Q46" i="5" s="1"/>
  <c r="AC11" i="5"/>
  <c r="AC46" i="5" s="1"/>
  <c r="R11" i="5"/>
  <c r="R46" i="5" s="1"/>
  <c r="AD11" i="5"/>
  <c r="AD46" i="5" s="1"/>
  <c r="G11" i="5"/>
  <c r="S11" i="5"/>
  <c r="S46" i="5" s="1"/>
  <c r="AE11" i="5"/>
  <c r="AE46" i="5" s="1"/>
  <c r="H11" i="5"/>
  <c r="H46" i="5" s="1"/>
  <c r="T11" i="5"/>
  <c r="T46" i="5" s="1"/>
  <c r="AF11" i="5"/>
  <c r="AF46" i="5" s="1"/>
  <c r="I11" i="5"/>
  <c r="I46" i="5" s="1"/>
  <c r="U11" i="5"/>
  <c r="U46" i="5" s="1"/>
  <c r="AG11" i="5"/>
  <c r="AG46" i="5" s="1"/>
  <c r="J11" i="5"/>
  <c r="J46" i="5" s="1"/>
  <c r="V11" i="5"/>
  <c r="V46" i="5" s="1"/>
  <c r="AH11" i="5"/>
  <c r="AH46" i="5" s="1"/>
  <c r="K11" i="5"/>
  <c r="K46" i="5" s="1"/>
  <c r="W11" i="5"/>
  <c r="W46" i="5" s="1"/>
  <c r="L11" i="5"/>
  <c r="L46" i="5" s="1"/>
  <c r="X11" i="5"/>
  <c r="X46" i="5" s="1"/>
  <c r="L7" i="5"/>
  <c r="L42" i="5" s="1"/>
  <c r="X7" i="5"/>
  <c r="X42" i="5" s="1"/>
  <c r="M7" i="5"/>
  <c r="M42" i="5" s="1"/>
  <c r="Y7" i="5"/>
  <c r="Y42" i="5" s="1"/>
  <c r="N7" i="5"/>
  <c r="N42" i="5" s="1"/>
  <c r="Z7" i="5"/>
  <c r="Z42" i="5" s="1"/>
  <c r="O7" i="5"/>
  <c r="O42" i="5" s="1"/>
  <c r="AA7" i="5"/>
  <c r="AA42" i="5" s="1"/>
  <c r="P7" i="5"/>
  <c r="P42" i="5" s="1"/>
  <c r="AB7" i="5"/>
  <c r="AB42" i="5" s="1"/>
  <c r="Q7" i="5"/>
  <c r="Q42" i="5" s="1"/>
  <c r="AC7" i="5"/>
  <c r="AC42" i="5" s="1"/>
  <c r="R7" i="5"/>
  <c r="R42" i="5" s="1"/>
  <c r="AD7" i="5"/>
  <c r="AD42" i="5" s="1"/>
  <c r="G7" i="5"/>
  <c r="S7" i="5"/>
  <c r="S42" i="5" s="1"/>
  <c r="AE7" i="5"/>
  <c r="AE42" i="5" s="1"/>
  <c r="I7" i="5"/>
  <c r="I42" i="5" s="1"/>
  <c r="U7" i="5"/>
  <c r="U42" i="5" s="1"/>
  <c r="J7" i="5"/>
  <c r="J42" i="5" s="1"/>
  <c r="V7" i="5"/>
  <c r="V42" i="5" s="1"/>
  <c r="W7" i="5"/>
  <c r="W42" i="5" s="1"/>
  <c r="AF7" i="5"/>
  <c r="AF42" i="5" s="1"/>
  <c r="AG7" i="5"/>
  <c r="AG42" i="5" s="1"/>
  <c r="AH7" i="5"/>
  <c r="AH42" i="5" s="1"/>
  <c r="H7" i="5"/>
  <c r="H42" i="5" s="1"/>
  <c r="K7" i="5"/>
  <c r="K42" i="5" s="1"/>
  <c r="T7" i="5"/>
  <c r="T42" i="5" s="1"/>
  <c r="G44" i="5"/>
  <c r="AI44" i="5" s="1"/>
  <c r="AI9" i="5"/>
  <c r="W106" i="4"/>
  <c r="G48" i="5"/>
  <c r="AI48" i="5" s="1"/>
  <c r="AI13" i="5"/>
  <c r="P3" i="5"/>
  <c r="P38" i="5" s="1"/>
  <c r="AB3" i="5"/>
  <c r="AB38" i="5" s="1"/>
  <c r="Q3" i="5"/>
  <c r="Q38" i="5" s="1"/>
  <c r="AC3" i="5"/>
  <c r="AC38" i="5" s="1"/>
  <c r="R3" i="5"/>
  <c r="R38" i="5" s="1"/>
  <c r="AD3" i="5"/>
  <c r="AD38" i="5" s="1"/>
  <c r="S3" i="5"/>
  <c r="S38" i="5" s="1"/>
  <c r="AE3" i="5"/>
  <c r="AE38" i="5" s="1"/>
  <c r="H3" i="5"/>
  <c r="H38" i="5" s="1"/>
  <c r="T3" i="5"/>
  <c r="T38" i="5" s="1"/>
  <c r="AF3" i="5"/>
  <c r="AF38" i="5" s="1"/>
  <c r="I3" i="5"/>
  <c r="I38" i="5" s="1"/>
  <c r="U3" i="5"/>
  <c r="U38" i="5" s="1"/>
  <c r="AG3" i="5"/>
  <c r="AG38" i="5" s="1"/>
  <c r="J3" i="5"/>
  <c r="J38" i="5" s="1"/>
  <c r="V3" i="5"/>
  <c r="V38" i="5" s="1"/>
  <c r="AH3" i="5"/>
  <c r="AH38" i="5" s="1"/>
  <c r="K3" i="5"/>
  <c r="K38" i="5" s="1"/>
  <c r="W3" i="5"/>
  <c r="W38" i="5" s="1"/>
  <c r="M3" i="5"/>
  <c r="M38" i="5" s="1"/>
  <c r="Y3" i="5"/>
  <c r="Y38" i="5" s="1"/>
  <c r="N3" i="5"/>
  <c r="N38" i="5" s="1"/>
  <c r="Z3" i="5"/>
  <c r="Z38" i="5" s="1"/>
  <c r="G3" i="5"/>
  <c r="L3" i="5"/>
  <c r="L38" i="5" s="1"/>
  <c r="O3" i="5"/>
  <c r="O38" i="5" s="1"/>
  <c r="X3" i="5"/>
  <c r="X38" i="5" s="1"/>
  <c r="AA3" i="5"/>
  <c r="AA38" i="5" s="1"/>
  <c r="E106" i="4"/>
  <c r="P106" i="4"/>
  <c r="AI22" i="5"/>
  <c r="G57" i="5"/>
  <c r="AI57" i="5" s="1"/>
  <c r="S106" i="4"/>
  <c r="Q25" i="5"/>
  <c r="Q60" i="5" s="1"/>
  <c r="AC25" i="5"/>
  <c r="AC60" i="5" s="1"/>
  <c r="R25" i="5"/>
  <c r="R60" i="5" s="1"/>
  <c r="AD25" i="5"/>
  <c r="AD60" i="5" s="1"/>
  <c r="G25" i="5"/>
  <c r="S25" i="5"/>
  <c r="S60" i="5" s="1"/>
  <c r="AE25" i="5"/>
  <c r="AE60" i="5" s="1"/>
  <c r="H25" i="5"/>
  <c r="H60" i="5" s="1"/>
  <c r="T25" i="5"/>
  <c r="T60" i="5" s="1"/>
  <c r="AF25" i="5"/>
  <c r="AF60" i="5" s="1"/>
  <c r="I25" i="5"/>
  <c r="I60" i="5" s="1"/>
  <c r="U25" i="5"/>
  <c r="U60" i="5" s="1"/>
  <c r="AG25" i="5"/>
  <c r="AG60" i="5" s="1"/>
  <c r="J25" i="5"/>
  <c r="J60" i="5" s="1"/>
  <c r="V25" i="5"/>
  <c r="V60" i="5" s="1"/>
  <c r="AH25" i="5"/>
  <c r="AH60" i="5" s="1"/>
  <c r="K25" i="5"/>
  <c r="K60" i="5" s="1"/>
  <c r="W25" i="5"/>
  <c r="W60" i="5" s="1"/>
  <c r="L25" i="5"/>
  <c r="L60" i="5" s="1"/>
  <c r="X25" i="5"/>
  <c r="X60" i="5" s="1"/>
  <c r="M25" i="5"/>
  <c r="M60" i="5" s="1"/>
  <c r="Y25" i="5"/>
  <c r="Y60" i="5" s="1"/>
  <c r="N25" i="5"/>
  <c r="N60" i="5" s="1"/>
  <c r="Z25" i="5"/>
  <c r="Z60" i="5" s="1"/>
  <c r="O25" i="5"/>
  <c r="O60" i="5" s="1"/>
  <c r="AA25" i="5"/>
  <c r="AA60" i="5" s="1"/>
  <c r="P25" i="5"/>
  <c r="P60" i="5" s="1"/>
  <c r="AB25" i="5"/>
  <c r="AB60" i="5" s="1"/>
  <c r="O106" i="4"/>
  <c r="M23" i="5"/>
  <c r="M58" i="5" s="1"/>
  <c r="Y23" i="5"/>
  <c r="Y58" i="5" s="1"/>
  <c r="N23" i="5"/>
  <c r="N58" i="5" s="1"/>
  <c r="Z23" i="5"/>
  <c r="Z58" i="5" s="1"/>
  <c r="O23" i="5"/>
  <c r="O58" i="5" s="1"/>
  <c r="AA23" i="5"/>
  <c r="AA58" i="5" s="1"/>
  <c r="P23" i="5"/>
  <c r="P58" i="5" s="1"/>
  <c r="AB23" i="5"/>
  <c r="AB58" i="5" s="1"/>
  <c r="Q23" i="5"/>
  <c r="Q58" i="5" s="1"/>
  <c r="AC23" i="5"/>
  <c r="AC58" i="5" s="1"/>
  <c r="R23" i="5"/>
  <c r="R58" i="5" s="1"/>
  <c r="AD23" i="5"/>
  <c r="AD58" i="5" s="1"/>
  <c r="G23" i="5"/>
  <c r="S23" i="5"/>
  <c r="S58" i="5" s="1"/>
  <c r="AE23" i="5"/>
  <c r="AE58" i="5" s="1"/>
  <c r="H23" i="5"/>
  <c r="H58" i="5" s="1"/>
  <c r="T23" i="5"/>
  <c r="T58" i="5" s="1"/>
  <c r="AF23" i="5"/>
  <c r="AF58" i="5" s="1"/>
  <c r="I23" i="5"/>
  <c r="I58" i="5" s="1"/>
  <c r="U23" i="5"/>
  <c r="U58" i="5" s="1"/>
  <c r="AG23" i="5"/>
  <c r="AG58" i="5" s="1"/>
  <c r="J23" i="5"/>
  <c r="J58" i="5" s="1"/>
  <c r="V23" i="5"/>
  <c r="V58" i="5" s="1"/>
  <c r="AH23" i="5"/>
  <c r="AH58" i="5" s="1"/>
  <c r="K23" i="5"/>
  <c r="K58" i="5" s="1"/>
  <c r="W23" i="5"/>
  <c r="W58" i="5" s="1"/>
  <c r="L23" i="5"/>
  <c r="L58" i="5" s="1"/>
  <c r="X23" i="5"/>
  <c r="X58" i="5" s="1"/>
  <c r="M26" i="5"/>
  <c r="M61" i="5" s="1"/>
  <c r="Y26" i="5"/>
  <c r="Y61" i="5" s="1"/>
  <c r="N26" i="5"/>
  <c r="N61" i="5" s="1"/>
  <c r="Z26" i="5"/>
  <c r="Z61" i="5" s="1"/>
  <c r="O26" i="5"/>
  <c r="O61" i="5" s="1"/>
  <c r="AA26" i="5"/>
  <c r="AA61" i="5" s="1"/>
  <c r="P26" i="5"/>
  <c r="P61" i="5" s="1"/>
  <c r="AB26" i="5"/>
  <c r="AB61" i="5" s="1"/>
  <c r="Q26" i="5"/>
  <c r="Q61" i="5" s="1"/>
  <c r="AC26" i="5"/>
  <c r="AC61" i="5" s="1"/>
  <c r="R26" i="5"/>
  <c r="R61" i="5" s="1"/>
  <c r="AD26" i="5"/>
  <c r="AD61" i="5" s="1"/>
  <c r="G26" i="5"/>
  <c r="S26" i="5"/>
  <c r="S61" i="5" s="1"/>
  <c r="AE26" i="5"/>
  <c r="AE61" i="5" s="1"/>
  <c r="H26" i="5"/>
  <c r="H61" i="5" s="1"/>
  <c r="T26" i="5"/>
  <c r="T61" i="5" s="1"/>
  <c r="AF26" i="5"/>
  <c r="AF61" i="5" s="1"/>
  <c r="I26" i="5"/>
  <c r="I61" i="5" s="1"/>
  <c r="U26" i="5"/>
  <c r="U61" i="5" s="1"/>
  <c r="AG26" i="5"/>
  <c r="AG61" i="5" s="1"/>
  <c r="J26" i="5"/>
  <c r="J61" i="5" s="1"/>
  <c r="V26" i="5"/>
  <c r="V61" i="5" s="1"/>
  <c r="AH26" i="5"/>
  <c r="AH61" i="5" s="1"/>
  <c r="K26" i="5"/>
  <c r="K61" i="5" s="1"/>
  <c r="W26" i="5"/>
  <c r="W61" i="5" s="1"/>
  <c r="L26" i="5"/>
  <c r="L61" i="5" s="1"/>
  <c r="X26" i="5"/>
  <c r="X61" i="5" s="1"/>
  <c r="M20" i="5"/>
  <c r="M55" i="5" s="1"/>
  <c r="Y20" i="5"/>
  <c r="Y55" i="5" s="1"/>
  <c r="N20" i="5"/>
  <c r="N55" i="5" s="1"/>
  <c r="Z20" i="5"/>
  <c r="Z55" i="5" s="1"/>
  <c r="O20" i="5"/>
  <c r="O55" i="5" s="1"/>
  <c r="AA20" i="5"/>
  <c r="AA55" i="5" s="1"/>
  <c r="P20" i="5"/>
  <c r="P55" i="5" s="1"/>
  <c r="AB20" i="5"/>
  <c r="AB55" i="5" s="1"/>
  <c r="Q20" i="5"/>
  <c r="Q55" i="5" s="1"/>
  <c r="AC20" i="5"/>
  <c r="AC55" i="5" s="1"/>
  <c r="R20" i="5"/>
  <c r="R55" i="5" s="1"/>
  <c r="AD20" i="5"/>
  <c r="AD55" i="5" s="1"/>
  <c r="G20" i="5"/>
  <c r="S20" i="5"/>
  <c r="S55" i="5" s="1"/>
  <c r="AE20" i="5"/>
  <c r="AE55" i="5" s="1"/>
  <c r="H20" i="5"/>
  <c r="H55" i="5" s="1"/>
  <c r="T20" i="5"/>
  <c r="T55" i="5" s="1"/>
  <c r="AF20" i="5"/>
  <c r="AF55" i="5" s="1"/>
  <c r="I20" i="5"/>
  <c r="I55" i="5" s="1"/>
  <c r="U20" i="5"/>
  <c r="U55" i="5" s="1"/>
  <c r="AG20" i="5"/>
  <c r="AG55" i="5" s="1"/>
  <c r="J20" i="5"/>
  <c r="J55" i="5" s="1"/>
  <c r="V20" i="5"/>
  <c r="V55" i="5" s="1"/>
  <c r="AH20" i="5"/>
  <c r="AH55" i="5" s="1"/>
  <c r="K20" i="5"/>
  <c r="K55" i="5" s="1"/>
  <c r="W20" i="5"/>
  <c r="W55" i="5" s="1"/>
  <c r="L20" i="5"/>
  <c r="L55" i="5" s="1"/>
  <c r="X20" i="5"/>
  <c r="X55" i="5" s="1"/>
  <c r="G40" i="5" l="1"/>
  <c r="AI40" i="5" s="1"/>
  <c r="AI5" i="5"/>
  <c r="AI19" i="5"/>
  <c r="G54" i="5"/>
  <c r="AI54" i="5" s="1"/>
  <c r="G59" i="5"/>
  <c r="AI59" i="5" s="1"/>
  <c r="AI24" i="5"/>
  <c r="G64" i="5"/>
  <c r="AI64" i="5" s="1"/>
  <c r="AI29" i="5"/>
  <c r="G56" i="5"/>
  <c r="AI56" i="5" s="1"/>
  <c r="AI21" i="5"/>
  <c r="G61" i="5"/>
  <c r="AI61" i="5" s="1"/>
  <c r="AI26" i="5"/>
  <c r="AI10" i="5"/>
  <c r="G45" i="5"/>
  <c r="AI45" i="5" s="1"/>
  <c r="AI4" i="5"/>
  <c r="G39" i="5"/>
  <c r="AI39" i="5" s="1"/>
  <c r="AI7" i="5"/>
  <c r="G42" i="5"/>
  <c r="AI42" i="5" s="1"/>
  <c r="G55" i="5"/>
  <c r="AI55" i="5" s="1"/>
  <c r="AI20" i="5"/>
  <c r="G43" i="5"/>
  <c r="AI43" i="5" s="1"/>
  <c r="AI8" i="5"/>
  <c r="G49" i="5"/>
  <c r="AI49" i="5" s="1"/>
  <c r="AI14" i="5"/>
  <c r="AI30" i="5"/>
  <c r="G65" i="5"/>
  <c r="AI65" i="5" s="1"/>
  <c r="G50" i="5"/>
  <c r="AI50" i="5" s="1"/>
  <c r="AI15" i="5"/>
  <c r="G60" i="5"/>
  <c r="AI60" i="5" s="1"/>
  <c r="AI25" i="5"/>
  <c r="G52" i="5"/>
  <c r="AI52" i="5" s="1"/>
  <c r="AI17" i="5"/>
  <c r="AI28" i="5"/>
  <c r="G63" i="5"/>
  <c r="AI63" i="5" s="1"/>
  <c r="G58" i="5"/>
  <c r="AI58" i="5" s="1"/>
  <c r="AI23" i="5"/>
  <c r="AI3" i="5"/>
  <c r="G38" i="5"/>
  <c r="AI38" i="5" s="1"/>
  <c r="G46" i="5"/>
  <c r="AI46" i="5" s="1"/>
  <c r="AI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7156876-2351-4B70-A509-887A24EDDBCF}">
      <text>
        <r>
          <rPr>
            <sz val="8"/>
            <color indexed="81"/>
            <rFont val="Tahoma"/>
            <family val="2"/>
          </rPr>
          <t>Attribute: idzoning
Source: Input attribute</t>
        </r>
      </text>
    </comment>
    <comment ref="B1" authorId="0" shapeId="0" xr:uid="{F05B0D7A-0B64-43A8-8FC6-62C803C9F25D}">
      <text>
        <r>
          <rPr>
            <sz val="8"/>
            <color indexed="81"/>
            <rFont val="Tahoma"/>
            <family val="2"/>
          </rPr>
          <t>Attribute: p61
Source: Input attribute</t>
        </r>
      </text>
    </comment>
    <comment ref="C1" authorId="0" shapeId="0" xr:uid="{43DD934C-CD6B-4C6E-A125-94DF1949AD9A}">
      <text>
        <r>
          <rPr>
            <sz val="8"/>
            <color indexed="81"/>
            <rFont val="Tahoma"/>
            <family val="2"/>
          </rPr>
          <t>Attribute: p131
Source: Input attribute</t>
        </r>
      </text>
    </comment>
    <comment ref="D1" authorId="0" shapeId="0" xr:uid="{BD8E2B07-5F6F-465C-A2D0-805901903986}">
      <text>
        <r>
          <rPr>
            <sz val="8"/>
            <color indexed="81"/>
            <rFont val="Tahoma"/>
            <family val="2"/>
          </rPr>
          <t>Attribute: pf1
Source: Input attribute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3FAE320-5C9D-4C16-A45A-BC4DC4C591F6}">
      <text>
        <r>
          <rPr>
            <sz val="8"/>
            <color indexed="81"/>
            <rFont val="Tahoma"/>
            <family val="2"/>
          </rPr>
          <t>Attribute: idzoning
Source: Input attribute</t>
        </r>
      </text>
    </comment>
    <comment ref="B1" authorId="0" shapeId="0" xr:uid="{7AF1DFA2-DB38-4C6F-8228-36FA44A38E6E}">
      <text>
        <r>
          <rPr>
            <sz val="8"/>
            <color indexed="81"/>
            <rFont val="Tahoma"/>
            <family val="2"/>
          </rPr>
          <t>Attribute: pf1
Source: Input attribute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26D25D53-5FD8-4052-BEB8-A1AB56F4E8C3}">
      <text>
        <r>
          <rPr>
            <sz val="8"/>
            <color indexed="81"/>
            <rFont val="Tahoma"/>
            <family val="2"/>
          </rPr>
          <t>Attribute: idzoning
Source: Input attribute</t>
        </r>
      </text>
    </comment>
    <comment ref="B1" authorId="0" shapeId="0" xr:uid="{5884A0CD-8815-4104-8332-B637BDF2E29F}">
      <text>
        <r>
          <rPr>
            <sz val="8"/>
            <color indexed="81"/>
            <rFont val="Tahoma"/>
            <family val="2"/>
          </rPr>
          <t>Attribute: pf1
Source: Input attribute</t>
        </r>
      </text>
    </comment>
  </commentList>
</comments>
</file>

<file path=xl/sharedStrings.xml><?xml version="1.0" encoding="utf-8"?>
<sst xmlns="http://schemas.openxmlformats.org/spreadsheetml/2006/main" count="24" uniqueCount="15">
  <si>
    <t>idzoning</t>
  </si>
  <si>
    <t>p61 employees</t>
  </si>
  <si>
    <t xml:space="preserve"> p131 students</t>
  </si>
  <si>
    <t xml:space="preserve"> pf1 family</t>
  </si>
  <si>
    <t>generation</t>
  </si>
  <si>
    <t>co-efficient</t>
  </si>
  <si>
    <t>home-work</t>
  </si>
  <si>
    <t>home-cshool</t>
  </si>
  <si>
    <t>home-leisure</t>
  </si>
  <si>
    <t>beta1</t>
  </si>
  <si>
    <t>beta2</t>
  </si>
  <si>
    <t>leisureworker</t>
  </si>
  <si>
    <t>zoning</t>
  </si>
  <si>
    <t>home-school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</si>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</sst>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1" fontId="3" fillId="3" borderId="2" xfId="0" applyNumberFormat="1" applyFont="1" applyFill="1" applyBorder="1" applyAlignment="1">
      <alignment horizontal="right"/>
    </xf>
    <xf numFmtId="0" fontId="0" fillId="4" borderId="0" xfId="0" applyFill="1"/>
    <xf numFmtId="0" fontId="0" fillId="0" borderId="3" xfId="0" applyBorder="1"/>
    <xf numFmtId="0" fontId="0" fillId="5" borderId="4" xfId="0" applyFill="1" applyBorder="1"/>
    <xf numFmtId="9" fontId="0" fillId="0" borderId="3" xfId="1" applyFont="1" applyBorder="1"/>
    <xf numFmtId="9" fontId="0" fillId="0" borderId="0" xfId="0" applyNumberFormat="1"/>
    <xf numFmtId="0" fontId="0" fillId="0" borderId="3" xfId="1" applyNumberFormat="1" applyFont="1" applyBorder="1"/>
    <xf numFmtId="0" fontId="0" fillId="5" borderId="4" xfId="1" applyNumberFormat="1" applyFont="1" applyFill="1" applyBorder="1"/>
    <xf numFmtId="0" fontId="0" fillId="5" borderId="0" xfId="1" applyNumberFormat="1" applyFont="1" applyFill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537210</xdr:colOff>
      <xdr:row>0</xdr:row>
      <xdr:rowOff>89556</xdr:rowOff>
    </xdr:from>
    <xdr:to>
      <xdr:col>16</xdr:col>
      <xdr:colOff>632744</xdr:colOff>
      <xdr:row>13</xdr:row>
      <xdr:rowOff>114637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5B31A2-2BF7-94A5-167D-2B3AF3FFE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9880" y="89556"/>
          <a:ext cx="2015774" cy="24025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249701</xdr:colOff>
      <xdr:row>2</xdr:row>
      <xdr:rowOff>54430</xdr:rowOff>
    </xdr:from>
    <xdr:to>
      <xdr:col>39</xdr:col>
      <xdr:colOff>1137</xdr:colOff>
      <xdr:row>20</xdr:row>
      <xdr:rowOff>163286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ED367-D960-5B4B-3406-39B9ED6D9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59230" y="424544"/>
          <a:ext cx="3603840" cy="3439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05D4-3045-4CEF-8B9F-80D1A17AB22A}">
  <dimension ref="A1:D45"/>
  <sheetViews>
    <sheetView workbookViewId="0">
      <selection activeCell="I10" sqref="I10"/>
    </sheetView>
  </sheetViews>
  <sheetFormatPr defaultRowHeight="14.4" x14ac:dyDescent="0.55000000000000004"/>
  <cols>
    <col min="1" max="1" width="19.26171875" customWidth="1"/>
    <col min="2" max="2" width="25" customWidth="1"/>
    <col min="3" max="3" width="15.68359375" customWidth="1"/>
    <col min="4" max="4" width="20.6835937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 s="2">
        <v>953</v>
      </c>
      <c r="C2" s="2">
        <v>229</v>
      </c>
      <c r="D2" s="2">
        <v>1094</v>
      </c>
    </row>
    <row r="3" spans="1:4" x14ac:dyDescent="0.55000000000000004">
      <c r="A3" s="2">
        <v>2</v>
      </c>
      <c r="B3" s="2">
        <v>558</v>
      </c>
      <c r="C3" s="2">
        <v>149</v>
      </c>
      <c r="D3" s="2">
        <v>633</v>
      </c>
    </row>
    <row r="4" spans="1:4" x14ac:dyDescent="0.55000000000000004">
      <c r="A4" s="2">
        <v>3</v>
      </c>
      <c r="B4" s="2">
        <v>478</v>
      </c>
      <c r="C4" s="2">
        <v>144</v>
      </c>
      <c r="D4" s="2">
        <v>592</v>
      </c>
    </row>
    <row r="5" spans="1:4" x14ac:dyDescent="0.55000000000000004">
      <c r="A5" s="2">
        <v>5</v>
      </c>
      <c r="B5" s="2">
        <v>268</v>
      </c>
      <c r="C5" s="2">
        <v>71</v>
      </c>
      <c r="D5" s="2">
        <v>318</v>
      </c>
    </row>
    <row r="6" spans="1:4" x14ac:dyDescent="0.55000000000000004">
      <c r="A6" s="2">
        <v>6</v>
      </c>
      <c r="B6" s="2">
        <v>921</v>
      </c>
      <c r="C6" s="2">
        <v>233</v>
      </c>
      <c r="D6" s="2">
        <v>1108</v>
      </c>
    </row>
    <row r="7" spans="1:4" x14ac:dyDescent="0.55000000000000004">
      <c r="A7" s="2">
        <v>7</v>
      </c>
      <c r="B7" s="2">
        <v>947</v>
      </c>
      <c r="C7" s="2">
        <v>269</v>
      </c>
      <c r="D7" s="2">
        <v>1067</v>
      </c>
    </row>
    <row r="8" spans="1:4" x14ac:dyDescent="0.55000000000000004">
      <c r="A8" s="2">
        <v>8</v>
      </c>
      <c r="B8" s="2">
        <v>1193</v>
      </c>
      <c r="C8" s="2">
        <v>299</v>
      </c>
      <c r="D8" s="2">
        <v>1488</v>
      </c>
    </row>
    <row r="9" spans="1:4" x14ac:dyDescent="0.55000000000000004">
      <c r="A9" s="2">
        <v>9</v>
      </c>
      <c r="B9" s="2">
        <v>468</v>
      </c>
      <c r="C9" s="2">
        <v>114</v>
      </c>
      <c r="D9" s="2">
        <v>500</v>
      </c>
    </row>
    <row r="10" spans="1:4" x14ac:dyDescent="0.55000000000000004">
      <c r="A10" s="2">
        <v>10</v>
      </c>
      <c r="B10" s="2">
        <v>787</v>
      </c>
      <c r="C10" s="2">
        <v>186</v>
      </c>
      <c r="D10" s="2">
        <v>882</v>
      </c>
    </row>
    <row r="11" spans="1:4" x14ac:dyDescent="0.55000000000000004">
      <c r="A11" s="2">
        <v>11</v>
      </c>
      <c r="B11" s="2">
        <v>47</v>
      </c>
      <c r="C11" s="2">
        <v>12</v>
      </c>
      <c r="D11" s="2">
        <v>61</v>
      </c>
    </row>
    <row r="12" spans="1:4" x14ac:dyDescent="0.55000000000000004">
      <c r="A12" s="2">
        <v>12</v>
      </c>
      <c r="B12" s="2">
        <v>341</v>
      </c>
      <c r="C12" s="2">
        <v>100</v>
      </c>
      <c r="D12" s="2">
        <v>386</v>
      </c>
    </row>
    <row r="13" spans="1:4" x14ac:dyDescent="0.55000000000000004">
      <c r="A13" s="2">
        <v>13</v>
      </c>
      <c r="B13" s="2">
        <v>480</v>
      </c>
      <c r="C13" s="2">
        <v>105</v>
      </c>
      <c r="D13" s="2">
        <v>535</v>
      </c>
    </row>
    <row r="14" spans="1:4" x14ac:dyDescent="0.55000000000000004">
      <c r="A14" s="2">
        <v>14</v>
      </c>
      <c r="B14" s="2">
        <v>453</v>
      </c>
      <c r="C14" s="2">
        <v>122</v>
      </c>
      <c r="D14" s="2">
        <v>539</v>
      </c>
    </row>
    <row r="15" spans="1:4" x14ac:dyDescent="0.55000000000000004">
      <c r="A15" s="2">
        <v>15</v>
      </c>
      <c r="B15" s="2">
        <v>538</v>
      </c>
      <c r="C15" s="2">
        <v>160</v>
      </c>
      <c r="D15" s="2">
        <v>612</v>
      </c>
    </row>
    <row r="16" spans="1:4" x14ac:dyDescent="0.55000000000000004">
      <c r="A16" s="2">
        <v>16</v>
      </c>
      <c r="B16" s="2">
        <v>303</v>
      </c>
      <c r="C16" s="2">
        <v>91</v>
      </c>
      <c r="D16" s="2">
        <v>380</v>
      </c>
    </row>
    <row r="17" spans="1:4" x14ac:dyDescent="0.55000000000000004">
      <c r="A17" s="2">
        <v>17</v>
      </c>
      <c r="B17" s="2">
        <v>7</v>
      </c>
      <c r="C17" s="2">
        <v>5</v>
      </c>
      <c r="D17" s="2">
        <v>19</v>
      </c>
    </row>
    <row r="18" spans="1:4" x14ac:dyDescent="0.55000000000000004">
      <c r="A18" s="2">
        <v>18</v>
      </c>
      <c r="B18" s="2">
        <v>1303</v>
      </c>
      <c r="C18" s="2">
        <v>339</v>
      </c>
      <c r="D18" s="2">
        <v>1573</v>
      </c>
    </row>
    <row r="19" spans="1:4" x14ac:dyDescent="0.55000000000000004">
      <c r="A19" s="2">
        <v>19</v>
      </c>
      <c r="B19" s="2">
        <v>1102</v>
      </c>
      <c r="C19" s="2">
        <v>261</v>
      </c>
      <c r="D19" s="2">
        <v>1258</v>
      </c>
    </row>
    <row r="20" spans="1:4" x14ac:dyDescent="0.55000000000000004">
      <c r="A20" s="2">
        <v>20</v>
      </c>
      <c r="B20" s="2">
        <v>1962</v>
      </c>
      <c r="C20" s="2">
        <v>593</v>
      </c>
      <c r="D20" s="2">
        <v>2597</v>
      </c>
    </row>
    <row r="21" spans="1:4" x14ac:dyDescent="0.55000000000000004">
      <c r="A21" s="2">
        <v>21</v>
      </c>
      <c r="B21" s="2">
        <v>768</v>
      </c>
      <c r="C21" s="2">
        <v>173</v>
      </c>
      <c r="D21" s="2">
        <v>858</v>
      </c>
    </row>
    <row r="22" spans="1:4" x14ac:dyDescent="0.55000000000000004">
      <c r="A22" s="2">
        <v>22</v>
      </c>
      <c r="B22" s="2">
        <v>601</v>
      </c>
      <c r="C22" s="2">
        <v>150</v>
      </c>
      <c r="D22" s="2">
        <v>898</v>
      </c>
    </row>
    <row r="23" spans="1:4" x14ac:dyDescent="0.55000000000000004">
      <c r="A23" s="2">
        <v>23</v>
      </c>
      <c r="B23" s="2">
        <v>1506</v>
      </c>
      <c r="C23" s="2">
        <v>435</v>
      </c>
      <c r="D23" s="2">
        <v>1746</v>
      </c>
    </row>
    <row r="24" spans="1:4" x14ac:dyDescent="0.55000000000000004">
      <c r="A24" s="2">
        <v>24</v>
      </c>
      <c r="B24" s="2">
        <v>198</v>
      </c>
      <c r="C24" s="2">
        <v>49</v>
      </c>
      <c r="D24" s="2">
        <v>211</v>
      </c>
    </row>
    <row r="25" spans="1:4" x14ac:dyDescent="0.55000000000000004">
      <c r="A25" s="2">
        <v>25</v>
      </c>
      <c r="B25" s="2">
        <v>1298</v>
      </c>
      <c r="C25" s="2">
        <v>381</v>
      </c>
      <c r="D25" s="2">
        <v>1974</v>
      </c>
    </row>
    <row r="26" spans="1:4" x14ac:dyDescent="0.55000000000000004">
      <c r="A26" s="2">
        <v>26</v>
      </c>
      <c r="B26" s="2">
        <v>184</v>
      </c>
      <c r="C26" s="2">
        <v>38</v>
      </c>
      <c r="D26" s="2">
        <v>192</v>
      </c>
    </row>
    <row r="27" spans="1:4" x14ac:dyDescent="0.55000000000000004">
      <c r="A27" s="2">
        <v>27</v>
      </c>
      <c r="B27" s="2">
        <v>2438</v>
      </c>
      <c r="C27" s="2">
        <v>727</v>
      </c>
      <c r="D27" s="2">
        <v>3477</v>
      </c>
    </row>
    <row r="28" spans="1:4" x14ac:dyDescent="0.55000000000000004">
      <c r="A28" s="2">
        <v>28</v>
      </c>
      <c r="B28" s="2">
        <v>770</v>
      </c>
      <c r="C28" s="2">
        <v>232</v>
      </c>
      <c r="D28" s="2">
        <v>954</v>
      </c>
    </row>
    <row r="29" spans="1:4" x14ac:dyDescent="0.55000000000000004">
      <c r="A29" s="2">
        <v>29</v>
      </c>
      <c r="B29" s="2">
        <v>708</v>
      </c>
      <c r="C29" s="2">
        <v>136</v>
      </c>
      <c r="D29" s="2">
        <v>833</v>
      </c>
    </row>
    <row r="30" spans="1:4" x14ac:dyDescent="0.55000000000000004">
      <c r="A30" s="2">
        <v>0</v>
      </c>
    </row>
    <row r="31" spans="1:4" x14ac:dyDescent="0.55000000000000004">
      <c r="A31" s="2">
        <v>0</v>
      </c>
      <c r="B31" s="2">
        <v>0</v>
      </c>
      <c r="C31" s="2">
        <v>0</v>
      </c>
      <c r="D31" s="2">
        <v>0</v>
      </c>
    </row>
    <row r="32" spans="1:4" x14ac:dyDescent="0.55000000000000004">
      <c r="A32" s="2">
        <v>0</v>
      </c>
      <c r="B32" s="2">
        <v>0</v>
      </c>
      <c r="C32" s="2">
        <v>0</v>
      </c>
      <c r="D32" s="2">
        <v>0</v>
      </c>
    </row>
    <row r="33" spans="1:4" x14ac:dyDescent="0.55000000000000004">
      <c r="A33" s="2">
        <v>0</v>
      </c>
      <c r="B33" s="2">
        <v>0</v>
      </c>
      <c r="C33" s="2">
        <v>0</v>
      </c>
      <c r="D33" s="2">
        <v>0</v>
      </c>
    </row>
    <row r="34" spans="1:4" x14ac:dyDescent="0.55000000000000004">
      <c r="A34" s="2">
        <v>0</v>
      </c>
      <c r="B34" s="2">
        <v>0</v>
      </c>
      <c r="C34" s="2">
        <v>0</v>
      </c>
      <c r="D34" s="2">
        <v>0</v>
      </c>
    </row>
    <row r="35" spans="1:4" x14ac:dyDescent="0.55000000000000004">
      <c r="A35" s="2">
        <v>0</v>
      </c>
      <c r="B35" s="2">
        <v>0</v>
      </c>
      <c r="C35" s="2">
        <v>0</v>
      </c>
      <c r="D35" s="2">
        <v>0</v>
      </c>
    </row>
    <row r="36" spans="1:4" x14ac:dyDescent="0.55000000000000004">
      <c r="A36" s="2">
        <v>0</v>
      </c>
      <c r="B36" s="2">
        <v>0</v>
      </c>
      <c r="C36" s="2">
        <v>0</v>
      </c>
      <c r="D36" s="2">
        <v>0</v>
      </c>
    </row>
    <row r="37" spans="1:4" x14ac:dyDescent="0.55000000000000004">
      <c r="A37" s="2">
        <v>0</v>
      </c>
      <c r="B37" s="2">
        <v>0</v>
      </c>
      <c r="C37" s="2">
        <v>0</v>
      </c>
      <c r="D37" s="2">
        <v>0</v>
      </c>
    </row>
    <row r="38" spans="1:4" x14ac:dyDescent="0.55000000000000004">
      <c r="A38" s="2">
        <v>0</v>
      </c>
      <c r="B38" s="2">
        <v>0</v>
      </c>
      <c r="C38" s="2">
        <v>0</v>
      </c>
      <c r="D38" s="2">
        <v>0</v>
      </c>
    </row>
    <row r="39" spans="1:4" x14ac:dyDescent="0.55000000000000004">
      <c r="A39" s="2">
        <v>0</v>
      </c>
      <c r="B39" s="2">
        <v>0</v>
      </c>
      <c r="C39" s="2">
        <v>0</v>
      </c>
      <c r="D39" s="2">
        <v>0</v>
      </c>
    </row>
    <row r="40" spans="1:4" x14ac:dyDescent="0.55000000000000004">
      <c r="A40" s="2">
        <v>0</v>
      </c>
      <c r="B40" s="2">
        <v>0</v>
      </c>
      <c r="C40" s="2">
        <v>0</v>
      </c>
      <c r="D40" s="2">
        <v>0</v>
      </c>
    </row>
    <row r="41" spans="1:4" x14ac:dyDescent="0.55000000000000004">
      <c r="A41" s="2">
        <v>0</v>
      </c>
      <c r="B41" s="2">
        <v>0</v>
      </c>
      <c r="C41" s="2">
        <v>0</v>
      </c>
      <c r="D41" s="2">
        <v>0</v>
      </c>
    </row>
    <row r="42" spans="1:4" x14ac:dyDescent="0.55000000000000004">
      <c r="A42" s="2">
        <v>0</v>
      </c>
      <c r="B42" s="2">
        <v>0</v>
      </c>
      <c r="C42" s="2">
        <v>0</v>
      </c>
      <c r="D42" s="2">
        <v>0</v>
      </c>
    </row>
    <row r="43" spans="1:4" x14ac:dyDescent="0.55000000000000004">
      <c r="A43" s="2">
        <v>0</v>
      </c>
      <c r="B43" s="2">
        <v>0</v>
      </c>
      <c r="C43" s="2">
        <v>0</v>
      </c>
      <c r="D43" s="2">
        <v>0</v>
      </c>
    </row>
    <row r="44" spans="1:4" x14ac:dyDescent="0.55000000000000004">
      <c r="A44" s="2">
        <v>0</v>
      </c>
      <c r="B44" s="2">
        <v>0</v>
      </c>
      <c r="C44" s="2">
        <v>0</v>
      </c>
      <c r="D44" s="2">
        <v>0</v>
      </c>
    </row>
    <row r="45" spans="1:4" x14ac:dyDescent="0.55000000000000004">
      <c r="A45" s="2">
        <v>0</v>
      </c>
      <c r="B45" s="2">
        <v>0</v>
      </c>
      <c r="C45" s="2">
        <v>0</v>
      </c>
      <c r="D45" s="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F7D8-9A8E-48CA-9244-3699CD55D724}">
  <dimension ref="A1:AS45"/>
  <sheetViews>
    <sheetView zoomScale="55" zoomScaleNormal="55" workbookViewId="0">
      <selection activeCell="J49" sqref="J49"/>
    </sheetView>
  </sheetViews>
  <sheetFormatPr defaultRowHeight="14.4" x14ac:dyDescent="0.55000000000000004"/>
  <sheetData>
    <row r="1" spans="1:45" x14ac:dyDescent="0.55000000000000004">
      <c r="B1" s="3">
        <v>1</v>
      </c>
      <c r="C1" s="3">
        <v>2</v>
      </c>
      <c r="D1" s="3">
        <v>3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101</v>
      </c>
      <c r="AE1" s="3">
        <v>102</v>
      </c>
      <c r="AF1" s="3">
        <v>103</v>
      </c>
      <c r="AG1" s="3">
        <v>104</v>
      </c>
      <c r="AH1" s="3">
        <v>105</v>
      </c>
      <c r="AI1" s="3">
        <v>106</v>
      </c>
      <c r="AJ1" s="3">
        <v>107</v>
      </c>
      <c r="AK1" s="3">
        <v>108</v>
      </c>
      <c r="AL1" s="3">
        <v>109</v>
      </c>
      <c r="AM1" s="3">
        <v>110</v>
      </c>
      <c r="AN1" s="3">
        <v>111</v>
      </c>
      <c r="AO1" s="3">
        <v>112</v>
      </c>
      <c r="AP1" s="3">
        <v>113</v>
      </c>
      <c r="AQ1" s="3">
        <v>114</v>
      </c>
      <c r="AR1" s="3">
        <v>115</v>
      </c>
    </row>
    <row r="2" spans="1:45" x14ac:dyDescent="0.55000000000000004">
      <c r="A2" s="3">
        <v>1</v>
      </c>
      <c r="B2">
        <v>0.68181955196834909</v>
      </c>
      <c r="C2" s="11">
        <v>1.2845340000000001</v>
      </c>
      <c r="D2" s="11">
        <v>1.192822</v>
      </c>
      <c r="E2" s="11">
        <v>2.8629500000000001</v>
      </c>
      <c r="F2" s="11">
        <v>1.2784800000000001</v>
      </c>
      <c r="G2" s="11">
        <v>1.966059</v>
      </c>
      <c r="H2" s="11">
        <v>2.0168569999999999</v>
      </c>
      <c r="I2" s="11">
        <v>6.0376580000000004</v>
      </c>
      <c r="J2" s="11">
        <v>2.3048320000000002</v>
      </c>
      <c r="K2" s="11">
        <v>2.5881219999999998</v>
      </c>
      <c r="L2" s="11">
        <v>2.5889449999999998</v>
      </c>
      <c r="M2" s="11">
        <v>3.7326440000000001</v>
      </c>
      <c r="N2" s="11">
        <v>3.6693509999999998</v>
      </c>
      <c r="O2" s="11">
        <v>4.2890470000000001</v>
      </c>
      <c r="P2" s="11">
        <v>9.2073780000000003</v>
      </c>
      <c r="Q2" s="11">
        <v>5.0128649999999997</v>
      </c>
      <c r="R2" s="11">
        <v>4.8589120000000001</v>
      </c>
      <c r="S2" s="11">
        <v>5.345885</v>
      </c>
      <c r="T2" s="11">
        <v>6.6953060000000004</v>
      </c>
      <c r="U2" s="11">
        <v>7.3633689999999996</v>
      </c>
      <c r="V2" s="11">
        <v>9.3663279999999993</v>
      </c>
      <c r="W2" s="11">
        <v>8.1350479999999994</v>
      </c>
      <c r="X2" s="11">
        <v>6.1185179999999999</v>
      </c>
      <c r="Y2" s="11">
        <v>5.6743370000000004</v>
      </c>
      <c r="Z2" s="11">
        <v>6.6110300000000004</v>
      </c>
      <c r="AA2" s="11">
        <v>7.6504430000000001</v>
      </c>
      <c r="AB2" s="11">
        <v>3.1851889999999998</v>
      </c>
      <c r="AC2" s="11">
        <v>2.6681379999999999</v>
      </c>
      <c r="AD2">
        <v>10.802906</v>
      </c>
      <c r="AE2">
        <v>6.6596869999999999</v>
      </c>
      <c r="AF2">
        <v>7.3365070000000001</v>
      </c>
      <c r="AG2">
        <v>6.3601809999999999</v>
      </c>
      <c r="AH2">
        <v>7.5516199999999998</v>
      </c>
      <c r="AI2">
        <v>8.2998560000000001</v>
      </c>
      <c r="AJ2">
        <v>9.628539</v>
      </c>
      <c r="AK2">
        <v>8.1503969999999999</v>
      </c>
      <c r="AL2">
        <v>7.8692799999999998</v>
      </c>
      <c r="AM2">
        <v>6.6570169999999997</v>
      </c>
      <c r="AN2">
        <v>6.282654</v>
      </c>
      <c r="AO2">
        <v>4.4306960000000002</v>
      </c>
      <c r="AP2">
        <v>0.75550499999999998</v>
      </c>
      <c r="AQ2">
        <v>1.0971919999999999</v>
      </c>
      <c r="AR2">
        <v>1.2197309999999999</v>
      </c>
      <c r="AS2">
        <v>2.0911590000000002</v>
      </c>
    </row>
    <row r="3" spans="1:45" x14ac:dyDescent="0.55000000000000004">
      <c r="A3" s="3">
        <v>2</v>
      </c>
      <c r="B3" s="11">
        <v>1.2845340000000001</v>
      </c>
      <c r="C3">
        <v>0.52285065392679797</v>
      </c>
      <c r="D3" s="11">
        <v>0.78234199999999998</v>
      </c>
      <c r="E3" s="11">
        <v>1.7849600000000001</v>
      </c>
      <c r="F3" s="11">
        <v>1.6423890000000001</v>
      </c>
      <c r="G3" s="11">
        <v>1.430796</v>
      </c>
      <c r="H3" s="11">
        <v>2.1132460000000002</v>
      </c>
      <c r="I3" s="11">
        <v>4.8326589999999996</v>
      </c>
      <c r="J3" s="11">
        <v>2.1828669999999999</v>
      </c>
      <c r="K3" s="11">
        <v>1.9686429999999999</v>
      </c>
      <c r="L3" s="11">
        <v>2.2670149999999998</v>
      </c>
      <c r="M3" s="11">
        <v>3.2311369999999999</v>
      </c>
      <c r="N3" s="11">
        <v>2.8593199999999999</v>
      </c>
      <c r="O3" s="11">
        <v>3.0383810000000002</v>
      </c>
      <c r="P3" s="11">
        <v>8.4278410000000008</v>
      </c>
      <c r="Q3" s="11">
        <v>4.0225869999999997</v>
      </c>
      <c r="R3" s="11">
        <v>4.2189670000000001</v>
      </c>
      <c r="S3" s="11">
        <v>4.8591980000000001</v>
      </c>
      <c r="T3" s="11">
        <v>5.696777</v>
      </c>
      <c r="U3" s="11">
        <v>6.5788010000000003</v>
      </c>
      <c r="V3" s="11">
        <v>8.4441109999999995</v>
      </c>
      <c r="W3" s="11">
        <v>7.15381</v>
      </c>
      <c r="X3" s="11">
        <v>5.7295109999999996</v>
      </c>
      <c r="Y3" s="11">
        <v>4.9282130000000004</v>
      </c>
      <c r="Z3" s="11">
        <v>6.0405899999999999</v>
      </c>
      <c r="AA3" s="11">
        <v>6.5189050000000002</v>
      </c>
      <c r="AB3" s="11">
        <v>2.460191</v>
      </c>
      <c r="AC3" s="11">
        <v>2.6473100000000001</v>
      </c>
      <c r="AD3">
        <v>9.8018180000000008</v>
      </c>
      <c r="AE3">
        <v>6.369103</v>
      </c>
      <c r="AF3">
        <v>6.8931769999999997</v>
      </c>
      <c r="AG3">
        <v>6.0861919999999996</v>
      </c>
      <c r="AH3">
        <v>6.9414769999999999</v>
      </c>
      <c r="AI3">
        <v>7.7141349999999997</v>
      </c>
      <c r="AJ3">
        <v>8.5983429999999998</v>
      </c>
      <c r="AK3">
        <v>6.9731139999999998</v>
      </c>
      <c r="AL3">
        <v>6.6760599999999997</v>
      </c>
      <c r="AM3">
        <v>5.4061789999999998</v>
      </c>
      <c r="AN3">
        <v>5.0109430000000001</v>
      </c>
      <c r="AO3">
        <v>3.1563720000000002</v>
      </c>
      <c r="AP3">
        <v>1.829099</v>
      </c>
      <c r="AQ3">
        <v>2.3060299999999998</v>
      </c>
      <c r="AR3">
        <v>1.5808199999999999</v>
      </c>
      <c r="AS3">
        <v>1.705355</v>
      </c>
    </row>
    <row r="4" spans="1:45" x14ac:dyDescent="0.55000000000000004">
      <c r="A4" s="3">
        <v>3</v>
      </c>
      <c r="B4" s="11">
        <v>1.192822</v>
      </c>
      <c r="C4" s="11">
        <v>0.78234199999999998</v>
      </c>
      <c r="D4">
        <v>0.64758372484198301</v>
      </c>
      <c r="E4" s="11">
        <v>1.7105360000000001</v>
      </c>
      <c r="F4" s="11">
        <v>0.91167399999999998</v>
      </c>
      <c r="G4" s="11">
        <v>0.81848200000000004</v>
      </c>
      <c r="H4" s="11">
        <v>1.332103</v>
      </c>
      <c r="I4" s="11">
        <v>4.9213979999999999</v>
      </c>
      <c r="J4" s="11">
        <v>1.4330540000000001</v>
      </c>
      <c r="K4" s="11">
        <v>1.4364060000000001</v>
      </c>
      <c r="L4" s="11">
        <v>1.583223</v>
      </c>
      <c r="M4" s="11">
        <v>2.653597</v>
      </c>
      <c r="N4" s="11">
        <v>2.4862709999999999</v>
      </c>
      <c r="O4" s="11">
        <v>3.2534559999999999</v>
      </c>
      <c r="P4" s="11">
        <v>8.0485769999999999</v>
      </c>
      <c r="Q4" s="11">
        <v>3.8209559999999998</v>
      </c>
      <c r="R4" s="11">
        <v>3.7323539999999999</v>
      </c>
      <c r="S4" s="11">
        <v>4.290349</v>
      </c>
      <c r="T4" s="11">
        <v>5.502802</v>
      </c>
      <c r="U4" s="11">
        <v>6.200056</v>
      </c>
      <c r="V4" s="11">
        <v>8.1781559999999995</v>
      </c>
      <c r="W4" s="11">
        <v>6.9423019999999998</v>
      </c>
      <c r="X4" s="11">
        <v>5.1197910000000002</v>
      </c>
      <c r="Y4" s="11">
        <v>4.5168049999999997</v>
      </c>
      <c r="Z4" s="11">
        <v>5.5226800000000003</v>
      </c>
      <c r="AA4" s="11">
        <v>6.4821439999999999</v>
      </c>
      <c r="AB4" s="11">
        <v>2.0149240000000002</v>
      </c>
      <c r="AC4" s="11">
        <v>1.8875139999999999</v>
      </c>
      <c r="AD4">
        <v>9.6100840000000005</v>
      </c>
      <c r="AE4">
        <v>5.7221489999999999</v>
      </c>
      <c r="AF4">
        <v>6.3132789999999996</v>
      </c>
      <c r="AG4">
        <v>5.4317060000000001</v>
      </c>
      <c r="AH4">
        <v>6.4494030000000002</v>
      </c>
      <c r="AI4">
        <v>7.2101889999999997</v>
      </c>
      <c r="AJ4">
        <v>8.4367680000000007</v>
      </c>
      <c r="AK4">
        <v>7.0042669999999996</v>
      </c>
      <c r="AL4">
        <v>6.7351460000000003</v>
      </c>
      <c r="AM4">
        <v>5.5961080000000001</v>
      </c>
      <c r="AN4">
        <v>5.2754440000000002</v>
      </c>
      <c r="AO4">
        <v>3.6445630000000002</v>
      </c>
      <c r="AP4">
        <v>1.9255469999999999</v>
      </c>
      <c r="AQ4">
        <v>2.285091</v>
      </c>
      <c r="AR4">
        <v>2.0327250000000001</v>
      </c>
      <c r="AS4">
        <v>2.42808</v>
      </c>
    </row>
    <row r="5" spans="1:45" x14ac:dyDescent="0.55000000000000004">
      <c r="A5" s="3">
        <v>5</v>
      </c>
      <c r="B5" s="11">
        <v>2.8629500000000001</v>
      </c>
      <c r="C5" s="11">
        <v>1.7849600000000001</v>
      </c>
      <c r="D5" s="11">
        <v>1.7105360000000001</v>
      </c>
      <c r="E5">
        <v>0.83095856037154892</v>
      </c>
      <c r="F5" s="11">
        <v>2.3644180000000001</v>
      </c>
      <c r="G5" s="11">
        <v>1.260966</v>
      </c>
      <c r="H5" s="11">
        <v>2.2323469999999999</v>
      </c>
      <c r="I5" s="11">
        <v>3.21577</v>
      </c>
      <c r="J5" s="11">
        <v>1.9684630000000001</v>
      </c>
      <c r="K5" s="11">
        <v>1.102562</v>
      </c>
      <c r="L5" s="11">
        <v>1.705133</v>
      </c>
      <c r="M5" s="11">
        <v>2.024143</v>
      </c>
      <c r="N5" s="11">
        <v>1.2739799999999999</v>
      </c>
      <c r="O5" s="11">
        <v>1.663624</v>
      </c>
      <c r="P5" s="11">
        <v>6.7020359999999997</v>
      </c>
      <c r="Q5" s="11">
        <v>2.2399879999999999</v>
      </c>
      <c r="R5" s="11">
        <v>2.6993649999999998</v>
      </c>
      <c r="S5" s="11">
        <v>3.4700329999999999</v>
      </c>
      <c r="T5" s="11">
        <v>3.9118170000000001</v>
      </c>
      <c r="U5" s="11">
        <v>4.8638719999999998</v>
      </c>
      <c r="V5" s="11">
        <v>6.6652069999999997</v>
      </c>
      <c r="W5" s="11">
        <v>5.368951</v>
      </c>
      <c r="X5" s="11">
        <v>4.4007560000000003</v>
      </c>
      <c r="Y5" s="11">
        <v>3.2700010000000002</v>
      </c>
      <c r="Z5" s="11">
        <v>4.5065790000000003</v>
      </c>
      <c r="AA5" s="11">
        <v>4.7879149999999999</v>
      </c>
      <c r="AB5" s="11">
        <v>1.113273</v>
      </c>
      <c r="AC5" s="11">
        <v>2.3447749999999998</v>
      </c>
      <c r="AD5">
        <v>8.0179150000000003</v>
      </c>
      <c r="AE5">
        <v>5.1222560000000001</v>
      </c>
      <c r="AF5">
        <v>5.4592679999999998</v>
      </c>
      <c r="AG5">
        <v>4.8729100000000001</v>
      </c>
      <c r="AH5">
        <v>5.3494359999999999</v>
      </c>
      <c r="AI5">
        <v>6.1292989999999996</v>
      </c>
      <c r="AJ5">
        <v>6.8181159999999998</v>
      </c>
      <c r="AK5">
        <v>5.2952089999999998</v>
      </c>
      <c r="AL5">
        <v>5.0246139999999997</v>
      </c>
      <c r="AM5">
        <v>3.925964</v>
      </c>
      <c r="AN5">
        <v>3.6647379999999998</v>
      </c>
      <c r="AO5">
        <v>2.4752169999999998</v>
      </c>
      <c r="AP5">
        <v>3.540206</v>
      </c>
      <c r="AQ5">
        <v>3.95825</v>
      </c>
      <c r="AR5">
        <v>3.3609040000000001</v>
      </c>
      <c r="AS5">
        <v>3.2282920000000002</v>
      </c>
    </row>
    <row r="6" spans="1:45" x14ac:dyDescent="0.55000000000000004">
      <c r="A6" s="3">
        <v>6</v>
      </c>
      <c r="B6" s="11">
        <v>1.2784800000000001</v>
      </c>
      <c r="C6" s="11">
        <v>1.6423890000000001</v>
      </c>
      <c r="D6" s="11">
        <v>0.91167399999999998</v>
      </c>
      <c r="E6" s="11">
        <v>2.3644180000000001</v>
      </c>
      <c r="F6">
        <v>0.54115810823324406</v>
      </c>
      <c r="G6" s="11">
        <v>1.1344959999999999</v>
      </c>
      <c r="H6" s="11">
        <v>0.74556299999999998</v>
      </c>
      <c r="I6" s="11">
        <v>5.5462090000000002</v>
      </c>
      <c r="J6" s="11">
        <v>1.082328</v>
      </c>
      <c r="K6" s="11">
        <v>1.649081</v>
      </c>
      <c r="L6" s="11">
        <v>1.4362459999999999</v>
      </c>
      <c r="M6" s="11">
        <v>2.5934900000000001</v>
      </c>
      <c r="N6" s="11">
        <v>2.7595649999999998</v>
      </c>
      <c r="O6" s="11">
        <v>4.0045650000000004</v>
      </c>
      <c r="P6" s="11">
        <v>8.129365</v>
      </c>
      <c r="Q6" s="11">
        <v>4.2086119999999996</v>
      </c>
      <c r="R6" s="11">
        <v>3.7570060000000001</v>
      </c>
      <c r="S6" s="11">
        <v>4.1533749999999996</v>
      </c>
      <c r="T6" s="11">
        <v>5.8492430000000004</v>
      </c>
      <c r="U6" s="11">
        <v>6.3076800000000004</v>
      </c>
      <c r="V6" s="11">
        <v>8.401923</v>
      </c>
      <c r="W6" s="11">
        <v>7.2445659999999998</v>
      </c>
      <c r="X6" s="11">
        <v>4.8823480000000004</v>
      </c>
      <c r="Y6" s="11">
        <v>4.6211840000000004</v>
      </c>
      <c r="Z6" s="11">
        <v>5.4385120000000002</v>
      </c>
      <c r="AA6" s="11">
        <v>6.9725520000000003</v>
      </c>
      <c r="AB6" s="11">
        <v>2.2472050000000001</v>
      </c>
      <c r="AC6" s="11">
        <v>1.3975</v>
      </c>
      <c r="AD6">
        <v>9.9078280000000003</v>
      </c>
      <c r="AE6">
        <v>5.3974710000000004</v>
      </c>
      <c r="AF6">
        <v>6.1083569999999998</v>
      </c>
      <c r="AG6">
        <v>5.0962709999999998</v>
      </c>
      <c r="AH6">
        <v>6.3886630000000002</v>
      </c>
      <c r="AI6">
        <v>7.1196780000000004</v>
      </c>
      <c r="AJ6">
        <v>8.7777049999999992</v>
      </c>
      <c r="AK6">
        <v>7.5511600000000003</v>
      </c>
      <c r="AL6">
        <v>7.3095920000000003</v>
      </c>
      <c r="AM6">
        <v>6.2880219999999998</v>
      </c>
      <c r="AN6">
        <v>6.0223149999999999</v>
      </c>
      <c r="AO6">
        <v>4.5205729999999997</v>
      </c>
      <c r="AP6">
        <v>1.9885679999999999</v>
      </c>
      <c r="AQ6">
        <v>2.1488179999999999</v>
      </c>
      <c r="AR6">
        <v>2.4520909999999998</v>
      </c>
      <c r="AS6">
        <v>3.1208629999999999</v>
      </c>
    </row>
    <row r="7" spans="1:45" x14ac:dyDescent="0.55000000000000004">
      <c r="A7" s="3">
        <v>7</v>
      </c>
      <c r="B7" s="11">
        <v>1.966059</v>
      </c>
      <c r="C7" s="11">
        <v>1.430796</v>
      </c>
      <c r="D7" s="11">
        <v>0.81848200000000004</v>
      </c>
      <c r="E7" s="11">
        <v>1.260966</v>
      </c>
      <c r="F7" s="11">
        <v>1.1344959999999999</v>
      </c>
      <c r="G7">
        <v>0.4031915244063935</v>
      </c>
      <c r="H7" s="11">
        <v>1.011339</v>
      </c>
      <c r="I7" s="11">
        <v>4.4129199999999997</v>
      </c>
      <c r="J7" s="11">
        <v>0.86612</v>
      </c>
      <c r="K7" s="11">
        <v>0.62353999999999998</v>
      </c>
      <c r="L7" s="11">
        <v>0.84332399999999996</v>
      </c>
      <c r="M7" s="11">
        <v>1.840484</v>
      </c>
      <c r="N7" s="11">
        <v>1.7137279999999999</v>
      </c>
      <c r="O7" s="11">
        <v>2.923</v>
      </c>
      <c r="P7" s="11">
        <v>7.2442060000000001</v>
      </c>
      <c r="Q7" s="11">
        <v>3.1168130000000001</v>
      </c>
      <c r="R7" s="11">
        <v>2.915117</v>
      </c>
      <c r="S7" s="11">
        <v>3.478316</v>
      </c>
      <c r="T7" s="11">
        <v>4.782451</v>
      </c>
      <c r="U7" s="11">
        <v>5.3984189999999996</v>
      </c>
      <c r="V7" s="11">
        <v>7.4110040000000001</v>
      </c>
      <c r="W7" s="11">
        <v>6.2041250000000003</v>
      </c>
      <c r="X7" s="11">
        <v>4.3219969999999996</v>
      </c>
      <c r="Y7" s="11">
        <v>3.7108750000000001</v>
      </c>
      <c r="Z7" s="11">
        <v>4.7046650000000003</v>
      </c>
      <c r="AA7" s="11">
        <v>5.8535539999999999</v>
      </c>
      <c r="AB7" s="11">
        <v>1.220269</v>
      </c>
      <c r="AC7" s="11">
        <v>1.327655</v>
      </c>
      <c r="AD7">
        <v>8.8734409999999997</v>
      </c>
      <c r="AE7">
        <v>4.9449870000000002</v>
      </c>
      <c r="AF7">
        <v>5.50589</v>
      </c>
      <c r="AG7">
        <v>4.6595959999999996</v>
      </c>
      <c r="AH7">
        <v>5.630941</v>
      </c>
      <c r="AI7">
        <v>6.3918679999999997</v>
      </c>
      <c r="AJ7">
        <v>7.7190180000000002</v>
      </c>
      <c r="AK7">
        <v>6.4212619999999996</v>
      </c>
      <c r="AL7">
        <v>6.1764239999999999</v>
      </c>
      <c r="AM7">
        <v>5.1660469999999998</v>
      </c>
      <c r="AN7">
        <v>4.9242739999999996</v>
      </c>
      <c r="AO7">
        <v>3.598071</v>
      </c>
      <c r="AP7">
        <v>2.716313</v>
      </c>
      <c r="AQ7">
        <v>3.0302039999999999</v>
      </c>
      <c r="AR7">
        <v>2.845224</v>
      </c>
      <c r="AS7">
        <v>3.1361469999999998</v>
      </c>
    </row>
    <row r="8" spans="1:45" x14ac:dyDescent="0.55000000000000004">
      <c r="A8" s="3">
        <v>8</v>
      </c>
      <c r="B8" s="11">
        <v>2.0168569999999999</v>
      </c>
      <c r="C8" s="11">
        <v>2.1132460000000002</v>
      </c>
      <c r="D8" s="11">
        <v>1.332103</v>
      </c>
      <c r="E8" s="11">
        <v>2.2323469999999999</v>
      </c>
      <c r="F8" s="11">
        <v>0.74556299999999998</v>
      </c>
      <c r="G8" s="11">
        <v>1.011339</v>
      </c>
      <c r="H8">
        <v>0.29758741014151985</v>
      </c>
      <c r="I8" s="11">
        <v>5.2543160000000002</v>
      </c>
      <c r="J8" s="11">
        <v>0.41106599999999999</v>
      </c>
      <c r="K8" s="11">
        <v>1.2544360000000001</v>
      </c>
      <c r="L8" s="11">
        <v>0.82386800000000004</v>
      </c>
      <c r="M8" s="11">
        <v>1.9281079999999999</v>
      </c>
      <c r="N8" s="11">
        <v>2.2752949999999998</v>
      </c>
      <c r="O8" s="11">
        <v>3.891076</v>
      </c>
      <c r="P8" s="11">
        <v>7.4594440000000004</v>
      </c>
      <c r="Q8" s="11">
        <v>3.7453400000000001</v>
      </c>
      <c r="R8" s="11">
        <v>3.0979540000000001</v>
      </c>
      <c r="S8" s="11">
        <v>3.4350719999999999</v>
      </c>
      <c r="T8" s="11">
        <v>5.329186</v>
      </c>
      <c r="U8" s="11">
        <v>5.6566660000000004</v>
      </c>
      <c r="V8" s="11">
        <v>7.79345</v>
      </c>
      <c r="W8" s="11">
        <v>6.6848859999999997</v>
      </c>
      <c r="X8" s="11">
        <v>4.1425669999999997</v>
      </c>
      <c r="Y8" s="11">
        <v>3.9840010000000001</v>
      </c>
      <c r="Z8" s="11">
        <v>4.7264350000000004</v>
      </c>
      <c r="AA8" s="11">
        <v>6.5434869999999998</v>
      </c>
      <c r="AB8" s="11">
        <v>1.775706</v>
      </c>
      <c r="AC8" s="11">
        <v>0.65230399999999999</v>
      </c>
      <c r="AD8">
        <v>9.3327559999999998</v>
      </c>
      <c r="AE8">
        <v>4.6519110000000001</v>
      </c>
      <c r="AF8">
        <v>5.3704590000000003</v>
      </c>
      <c r="AG8">
        <v>4.3507230000000003</v>
      </c>
      <c r="AH8">
        <v>5.679068</v>
      </c>
      <c r="AI8">
        <v>6.400601</v>
      </c>
      <c r="AJ8">
        <v>8.2323979999999999</v>
      </c>
      <c r="AK8">
        <v>7.1637360000000001</v>
      </c>
      <c r="AL8">
        <v>6.948601</v>
      </c>
      <c r="AM8">
        <v>6.057372</v>
      </c>
      <c r="AN8">
        <v>5.8625800000000003</v>
      </c>
      <c r="AO8">
        <v>4.6093900000000003</v>
      </c>
      <c r="AP8">
        <v>2.7340870000000002</v>
      </c>
      <c r="AQ8">
        <v>2.8796300000000001</v>
      </c>
      <c r="AR8">
        <v>3.1602450000000002</v>
      </c>
      <c r="AS8">
        <v>3.7320449999999998</v>
      </c>
    </row>
    <row r="9" spans="1:45" x14ac:dyDescent="0.55000000000000004">
      <c r="A9" s="3">
        <v>9</v>
      </c>
      <c r="B9" s="11">
        <v>6.0376580000000004</v>
      </c>
      <c r="C9" s="11">
        <v>4.8326589999999996</v>
      </c>
      <c r="D9" s="11">
        <v>4.9213979999999999</v>
      </c>
      <c r="E9" s="11">
        <v>3.21577</v>
      </c>
      <c r="F9" s="11">
        <v>5.5462090000000002</v>
      </c>
      <c r="G9" s="11">
        <v>4.4129199999999997</v>
      </c>
      <c r="H9" s="11">
        <v>5.2543160000000002</v>
      </c>
      <c r="I9">
        <v>0.96263854672714555</v>
      </c>
      <c r="J9" s="11">
        <v>4.8930689999999997</v>
      </c>
      <c r="K9" s="11">
        <v>4.0001160000000002</v>
      </c>
      <c r="L9" s="11">
        <v>4.5076599999999996</v>
      </c>
      <c r="M9" s="11">
        <v>3.9525519999999998</v>
      </c>
      <c r="N9" s="11">
        <v>3.1015799999999998</v>
      </c>
      <c r="O9" s="11">
        <v>1.8550800000000001</v>
      </c>
      <c r="P9" s="11">
        <v>5.1262879999999997</v>
      </c>
      <c r="Q9" s="11">
        <v>1.88906</v>
      </c>
      <c r="R9" s="11">
        <v>3.4866549999999998</v>
      </c>
      <c r="S9" s="11">
        <v>4.2359790000000004</v>
      </c>
      <c r="T9" s="11">
        <v>2.026888</v>
      </c>
      <c r="U9" s="11">
        <v>3.7228210000000002</v>
      </c>
      <c r="V9" s="11">
        <v>4.5033750000000001</v>
      </c>
      <c r="W9" s="11">
        <v>3.1350799999999999</v>
      </c>
      <c r="X9" s="11">
        <v>4.9930009999999996</v>
      </c>
      <c r="Y9" s="11">
        <v>3.1471840000000002</v>
      </c>
      <c r="Z9" s="11">
        <v>4.4098110000000004</v>
      </c>
      <c r="AA9" s="11">
        <v>1.861494</v>
      </c>
      <c r="AB9" s="11">
        <v>3.5281690000000001</v>
      </c>
      <c r="AC9" s="11">
        <v>5.1050110000000002</v>
      </c>
      <c r="AD9">
        <v>5.4316269999999998</v>
      </c>
      <c r="AE9">
        <v>5.7357100000000001</v>
      </c>
      <c r="AF9">
        <v>5.4627829999999999</v>
      </c>
      <c r="AG9">
        <v>5.6282389999999998</v>
      </c>
      <c r="AH9">
        <v>4.7785250000000001</v>
      </c>
      <c r="AI9">
        <v>5.4300940000000004</v>
      </c>
      <c r="AJ9">
        <v>4.1908329999999996</v>
      </c>
      <c r="AK9">
        <v>2.159824</v>
      </c>
      <c r="AL9">
        <v>1.8457159999999999</v>
      </c>
      <c r="AM9">
        <v>0.92476800000000003</v>
      </c>
      <c r="AN9">
        <v>1.1856709999999999</v>
      </c>
      <c r="AO9">
        <v>2.6942249999999999</v>
      </c>
      <c r="AP9">
        <v>6.6598300000000004</v>
      </c>
      <c r="AQ9">
        <v>7.1177049999999999</v>
      </c>
      <c r="AR9">
        <v>6.2889799999999996</v>
      </c>
      <c r="AS9">
        <v>5.7685979999999999</v>
      </c>
    </row>
    <row r="10" spans="1:45" x14ac:dyDescent="0.55000000000000004">
      <c r="A10" s="3">
        <v>10</v>
      </c>
      <c r="B10" s="11">
        <v>2.3048320000000002</v>
      </c>
      <c r="C10" s="11">
        <v>2.1828669999999999</v>
      </c>
      <c r="D10" s="11">
        <v>1.4330540000000001</v>
      </c>
      <c r="E10" s="11">
        <v>1.9684630000000001</v>
      </c>
      <c r="F10" s="11">
        <v>1.082328</v>
      </c>
      <c r="G10" s="11">
        <v>0.86612</v>
      </c>
      <c r="H10" s="11">
        <v>0.41106599999999999</v>
      </c>
      <c r="I10" s="11">
        <v>4.8930689999999997</v>
      </c>
      <c r="J10">
        <v>0.25755239040166661</v>
      </c>
      <c r="K10" s="11">
        <v>0.91391800000000001</v>
      </c>
      <c r="L10" s="11">
        <v>0.41519200000000001</v>
      </c>
      <c r="M10" s="11">
        <v>1.5280100000000001</v>
      </c>
      <c r="N10" s="11">
        <v>1.877181</v>
      </c>
      <c r="O10" s="11">
        <v>3.6035300000000001</v>
      </c>
      <c r="P10" s="11">
        <v>7.0651450000000002</v>
      </c>
      <c r="Q10" s="11">
        <v>3.3455409999999999</v>
      </c>
      <c r="R10" s="11">
        <v>2.697721</v>
      </c>
      <c r="S10" s="11">
        <v>3.0712609999999998</v>
      </c>
      <c r="T10" s="11">
        <v>4.9200569999999999</v>
      </c>
      <c r="U10" s="11">
        <v>5.255719</v>
      </c>
      <c r="V10" s="11">
        <v>7.3850680000000004</v>
      </c>
      <c r="W10" s="11">
        <v>6.273822</v>
      </c>
      <c r="X10" s="11">
        <v>3.8152780000000002</v>
      </c>
      <c r="Y10" s="11">
        <v>3.5789149999999998</v>
      </c>
      <c r="Z10" s="11">
        <v>4.3563710000000002</v>
      </c>
      <c r="AA10" s="11">
        <v>6.1459250000000001</v>
      </c>
      <c r="AB10" s="11">
        <v>1.386082</v>
      </c>
      <c r="AC10" s="11">
        <v>0.47015499999999999</v>
      </c>
      <c r="AD10">
        <v>8.9220269999999999</v>
      </c>
      <c r="AE10">
        <v>4.3605479999999996</v>
      </c>
      <c r="AF10">
        <v>5.0368899999999996</v>
      </c>
      <c r="AG10">
        <v>4.0630519999999999</v>
      </c>
      <c r="AH10">
        <v>5.3069319999999998</v>
      </c>
      <c r="AI10">
        <v>6.0374140000000001</v>
      </c>
      <c r="AJ10">
        <v>7.8214810000000003</v>
      </c>
      <c r="AK10">
        <v>6.7739219999999998</v>
      </c>
      <c r="AL10">
        <v>6.5650550000000001</v>
      </c>
      <c r="AM10">
        <v>5.7132110000000003</v>
      </c>
      <c r="AN10">
        <v>5.5441279999999997</v>
      </c>
      <c r="AO10">
        <v>4.4068930000000002</v>
      </c>
      <c r="AP10">
        <v>3.0442650000000002</v>
      </c>
      <c r="AQ10">
        <v>3.2307760000000001</v>
      </c>
      <c r="AR10">
        <v>3.389113</v>
      </c>
      <c r="AS10">
        <v>3.8606310000000001</v>
      </c>
    </row>
    <row r="11" spans="1:45" x14ac:dyDescent="0.55000000000000004">
      <c r="A11" s="3">
        <v>11</v>
      </c>
      <c r="B11" s="11">
        <v>2.5881219999999998</v>
      </c>
      <c r="C11" s="11">
        <v>1.9686429999999999</v>
      </c>
      <c r="D11" s="11">
        <v>1.4364060000000001</v>
      </c>
      <c r="E11" s="11">
        <v>1.102562</v>
      </c>
      <c r="F11" s="11">
        <v>1.649081</v>
      </c>
      <c r="G11" s="11">
        <v>0.62353999999999998</v>
      </c>
      <c r="H11" s="11">
        <v>1.2544360000000001</v>
      </c>
      <c r="I11" s="11">
        <v>4.0001160000000002</v>
      </c>
      <c r="J11" s="11">
        <v>0.91391800000000001</v>
      </c>
      <c r="K11">
        <v>0.4449986104403002</v>
      </c>
      <c r="L11" s="11">
        <v>0.60341900000000004</v>
      </c>
      <c r="M11" s="11">
        <v>1.262756</v>
      </c>
      <c r="N11" s="11">
        <v>1.115707</v>
      </c>
      <c r="O11" s="11">
        <v>2.6991830000000001</v>
      </c>
      <c r="P11" s="11">
        <v>6.6207750000000001</v>
      </c>
      <c r="Q11" s="11">
        <v>2.5602079999999998</v>
      </c>
      <c r="R11" s="11">
        <v>2.2968839999999999</v>
      </c>
      <c r="S11" s="11">
        <v>2.8925679999999998</v>
      </c>
      <c r="T11" s="11">
        <v>4.2035559999999998</v>
      </c>
      <c r="U11" s="11">
        <v>4.7754370000000002</v>
      </c>
      <c r="V11" s="11">
        <v>6.8005659999999999</v>
      </c>
      <c r="W11" s="11">
        <v>5.6106819999999997</v>
      </c>
      <c r="X11" s="11">
        <v>3.7623660000000001</v>
      </c>
      <c r="Y11" s="11">
        <v>3.0874239999999999</v>
      </c>
      <c r="Z11" s="11">
        <v>4.0976129999999999</v>
      </c>
      <c r="AA11" s="11">
        <v>5.3357349999999997</v>
      </c>
      <c r="AB11" s="11">
        <v>0.60805600000000004</v>
      </c>
      <c r="AC11" s="11">
        <v>1.2469399999999999</v>
      </c>
      <c r="AD11">
        <v>8.2783339999999992</v>
      </c>
      <c r="AE11">
        <v>4.4155660000000001</v>
      </c>
      <c r="AF11">
        <v>4.9259589999999998</v>
      </c>
      <c r="AG11">
        <v>4.1388429999999996</v>
      </c>
      <c r="AH11">
        <v>5.0175960000000002</v>
      </c>
      <c r="AI11">
        <v>5.7819929999999999</v>
      </c>
      <c r="AJ11">
        <v>7.1360380000000001</v>
      </c>
      <c r="AK11">
        <v>5.9342670000000002</v>
      </c>
      <c r="AL11">
        <v>5.708736</v>
      </c>
      <c r="AM11">
        <v>4.8062129999999996</v>
      </c>
      <c r="AN11">
        <v>4.6302159999999999</v>
      </c>
      <c r="AO11">
        <v>3.5763850000000001</v>
      </c>
      <c r="AP11">
        <v>3.3394370000000002</v>
      </c>
      <c r="AQ11">
        <v>3.6445660000000002</v>
      </c>
      <c r="AR11">
        <v>3.4487329999999998</v>
      </c>
      <c r="AS11">
        <v>3.6572200000000001</v>
      </c>
    </row>
    <row r="12" spans="1:45" x14ac:dyDescent="0.55000000000000004">
      <c r="A12" s="3">
        <v>12</v>
      </c>
      <c r="B12" s="11">
        <v>2.5889449999999998</v>
      </c>
      <c r="C12" s="11">
        <v>2.2670149999999998</v>
      </c>
      <c r="D12" s="11">
        <v>1.583223</v>
      </c>
      <c r="E12" s="11">
        <v>1.705133</v>
      </c>
      <c r="F12" s="11">
        <v>1.4362459999999999</v>
      </c>
      <c r="G12" s="11">
        <v>0.84332399999999996</v>
      </c>
      <c r="H12" s="11">
        <v>0.82386800000000004</v>
      </c>
      <c r="I12" s="11">
        <v>4.5076599999999996</v>
      </c>
      <c r="J12" s="11">
        <v>0.41519200000000001</v>
      </c>
      <c r="K12" s="11">
        <v>0.60341900000000004</v>
      </c>
      <c r="L12">
        <v>0.22398539635699383</v>
      </c>
      <c r="M12" s="11">
        <v>1.1597109999999999</v>
      </c>
      <c r="N12" s="11">
        <v>1.4661759999999999</v>
      </c>
      <c r="O12" s="11">
        <v>3.2921779999999998</v>
      </c>
      <c r="P12" s="11">
        <v>6.6931310000000002</v>
      </c>
      <c r="Q12" s="11">
        <v>2.9325489999999999</v>
      </c>
      <c r="R12" s="11">
        <v>2.3207589999999998</v>
      </c>
      <c r="S12" s="11">
        <v>2.7569460000000001</v>
      </c>
      <c r="T12" s="11">
        <v>4.5054559999999997</v>
      </c>
      <c r="U12" s="11">
        <v>4.8730739999999999</v>
      </c>
      <c r="V12" s="11">
        <v>6.9857519999999997</v>
      </c>
      <c r="W12" s="11">
        <v>5.8635320000000002</v>
      </c>
      <c r="X12" s="11">
        <v>3.5496159999999999</v>
      </c>
      <c r="Y12" s="11">
        <v>3.1893349999999998</v>
      </c>
      <c r="Z12" s="11">
        <v>4.0264049999999996</v>
      </c>
      <c r="AA12" s="11">
        <v>5.7335839999999996</v>
      </c>
      <c r="AB12" s="11">
        <v>0.98464300000000005</v>
      </c>
      <c r="AC12" s="11">
        <v>0.64570499999999997</v>
      </c>
      <c r="AD12">
        <v>8.5149659999999994</v>
      </c>
      <c r="AE12">
        <v>4.1392689999999996</v>
      </c>
      <c r="AF12">
        <v>4.7568789999999996</v>
      </c>
      <c r="AG12">
        <v>3.848484</v>
      </c>
      <c r="AH12">
        <v>4.9715689999999997</v>
      </c>
      <c r="AI12">
        <v>5.713838</v>
      </c>
      <c r="AJ12">
        <v>7.4096820000000001</v>
      </c>
      <c r="AK12">
        <v>6.3658950000000001</v>
      </c>
      <c r="AL12">
        <v>6.1612159999999996</v>
      </c>
      <c r="AM12">
        <v>5.3415990000000004</v>
      </c>
      <c r="AN12">
        <v>5.195983</v>
      </c>
      <c r="AO12">
        <v>4.1768070000000002</v>
      </c>
      <c r="AP12">
        <v>3.3406570000000002</v>
      </c>
      <c r="AQ12">
        <v>3.5667439999999999</v>
      </c>
      <c r="AR12">
        <v>3.6030489999999999</v>
      </c>
      <c r="AS12">
        <v>3.9707780000000001</v>
      </c>
    </row>
    <row r="13" spans="1:45" x14ac:dyDescent="0.55000000000000004">
      <c r="A13" s="3">
        <v>13</v>
      </c>
      <c r="B13" s="11">
        <v>3.7326440000000001</v>
      </c>
      <c r="C13" s="11">
        <v>3.2311369999999999</v>
      </c>
      <c r="D13" s="11">
        <v>2.653597</v>
      </c>
      <c r="E13" s="11">
        <v>2.024143</v>
      </c>
      <c r="F13" s="11">
        <v>2.5934900000000001</v>
      </c>
      <c r="G13" s="11">
        <v>1.840484</v>
      </c>
      <c r="H13" s="11">
        <v>1.9281079999999999</v>
      </c>
      <c r="I13" s="11">
        <v>3.9525519999999998</v>
      </c>
      <c r="J13" s="11">
        <v>1.5280100000000001</v>
      </c>
      <c r="K13" s="11">
        <v>1.262756</v>
      </c>
      <c r="L13" s="11">
        <v>1.1597109999999999</v>
      </c>
      <c r="M13">
        <v>0.53023736506421326</v>
      </c>
      <c r="N13" s="11">
        <v>0.96597299999999997</v>
      </c>
      <c r="O13" s="11">
        <v>3.20818</v>
      </c>
      <c r="P13" s="11">
        <v>5.5382699999999998</v>
      </c>
      <c r="Q13" s="11">
        <v>2.1448360000000002</v>
      </c>
      <c r="R13" s="11">
        <v>1.1700440000000001</v>
      </c>
      <c r="S13" s="11">
        <v>1.6378379999999999</v>
      </c>
      <c r="T13" s="11">
        <v>3.5325280000000001</v>
      </c>
      <c r="U13" s="11">
        <v>3.7286649999999999</v>
      </c>
      <c r="V13" s="11">
        <v>5.8767300000000002</v>
      </c>
      <c r="W13" s="11">
        <v>4.8153430000000004</v>
      </c>
      <c r="X13" s="11">
        <v>2.5000710000000002</v>
      </c>
      <c r="Y13" s="11">
        <v>2.059485</v>
      </c>
      <c r="Z13" s="11">
        <v>2.8795839999999999</v>
      </c>
      <c r="AA13" s="11">
        <v>4.8850980000000002</v>
      </c>
      <c r="AB13" s="11">
        <v>0.91200800000000004</v>
      </c>
      <c r="AC13" s="11">
        <v>1.435192</v>
      </c>
      <c r="AD13">
        <v>7.4379929999999996</v>
      </c>
      <c r="AE13">
        <v>3.166118</v>
      </c>
      <c r="AF13">
        <v>3.6674959999999999</v>
      </c>
      <c r="AG13">
        <v>2.8971330000000002</v>
      </c>
      <c r="AH13">
        <v>3.8190849999999998</v>
      </c>
      <c r="AI13">
        <v>4.5689029999999997</v>
      </c>
      <c r="AJ13">
        <v>6.3713449999999998</v>
      </c>
      <c r="AK13">
        <v>5.5726719999999998</v>
      </c>
      <c r="AL13">
        <v>5.4165270000000003</v>
      </c>
      <c r="AM13">
        <v>4.8544159999999996</v>
      </c>
      <c r="AN13">
        <v>4.8446160000000003</v>
      </c>
      <c r="AO13">
        <v>4.3463690000000001</v>
      </c>
      <c r="AP13">
        <v>4.4872959999999997</v>
      </c>
      <c r="AQ13">
        <v>4.7258849999999999</v>
      </c>
      <c r="AR13">
        <v>4.6850019999999999</v>
      </c>
      <c r="AS13">
        <v>4.9181239999999997</v>
      </c>
    </row>
    <row r="14" spans="1:45" x14ac:dyDescent="0.55000000000000004">
      <c r="A14" s="3">
        <v>14</v>
      </c>
      <c r="B14" s="11">
        <v>3.6693509999999998</v>
      </c>
      <c r="C14" s="11">
        <v>2.8593199999999999</v>
      </c>
      <c r="D14" s="11">
        <v>2.4862709999999999</v>
      </c>
      <c r="E14" s="11">
        <v>1.2739799999999999</v>
      </c>
      <c r="F14" s="11">
        <v>2.7595649999999998</v>
      </c>
      <c r="G14" s="11">
        <v>1.7137279999999999</v>
      </c>
      <c r="H14" s="11">
        <v>2.2752949999999998</v>
      </c>
      <c r="I14" s="11">
        <v>3.1015799999999998</v>
      </c>
      <c r="J14" s="11">
        <v>1.877181</v>
      </c>
      <c r="K14" s="11">
        <v>1.115707</v>
      </c>
      <c r="L14" s="11">
        <v>1.4661759999999999</v>
      </c>
      <c r="M14" s="11">
        <v>0.96597299999999997</v>
      </c>
      <c r="N14">
        <v>0.54515750911374783</v>
      </c>
      <c r="O14" s="11">
        <v>2.2439520000000002</v>
      </c>
      <c r="P14" s="11">
        <v>5.5805629999999997</v>
      </c>
      <c r="Q14" s="11">
        <v>1.47017</v>
      </c>
      <c r="R14" s="11">
        <v>1.4265000000000001</v>
      </c>
      <c r="S14" s="11">
        <v>2.2041759999999999</v>
      </c>
      <c r="T14" s="11">
        <v>3.0897160000000001</v>
      </c>
      <c r="U14" s="11">
        <v>3.729714</v>
      </c>
      <c r="V14" s="11">
        <v>5.6985219999999996</v>
      </c>
      <c r="W14" s="11">
        <v>4.4955689999999997</v>
      </c>
      <c r="X14" s="11">
        <v>3.139764</v>
      </c>
      <c r="Y14" s="11">
        <v>2.0688960000000001</v>
      </c>
      <c r="Z14" s="11">
        <v>3.242686</v>
      </c>
      <c r="AA14" s="11">
        <v>4.2689469999999998</v>
      </c>
      <c r="AB14" s="11">
        <v>0.512602</v>
      </c>
      <c r="AC14" s="11">
        <v>2.01763</v>
      </c>
      <c r="AD14">
        <v>7.1638520000000003</v>
      </c>
      <c r="AE14">
        <v>3.8750450000000001</v>
      </c>
      <c r="AF14">
        <v>4.1853360000000004</v>
      </c>
      <c r="AG14">
        <v>3.6377839999999999</v>
      </c>
      <c r="AH14">
        <v>4.1078549999999998</v>
      </c>
      <c r="AI14">
        <v>4.8860510000000001</v>
      </c>
      <c r="AJ14">
        <v>6.0205970000000004</v>
      </c>
      <c r="AK14">
        <v>4.9006369999999997</v>
      </c>
      <c r="AL14">
        <v>4.7013660000000002</v>
      </c>
      <c r="AM14">
        <v>3.9756819999999999</v>
      </c>
      <c r="AN14">
        <v>3.916817</v>
      </c>
      <c r="AO14">
        <v>3.411041</v>
      </c>
      <c r="AP14">
        <v>4.4111919999999998</v>
      </c>
      <c r="AQ14">
        <v>4.742991</v>
      </c>
      <c r="AR14">
        <v>4.4205300000000003</v>
      </c>
      <c r="AS14">
        <v>4.4444020000000002</v>
      </c>
    </row>
    <row r="15" spans="1:45" x14ac:dyDescent="0.55000000000000004">
      <c r="A15" s="3">
        <v>15</v>
      </c>
      <c r="B15" s="11">
        <v>4.2890470000000001</v>
      </c>
      <c r="C15" s="11">
        <v>3.0383810000000002</v>
      </c>
      <c r="D15" s="11">
        <v>3.2534559999999999</v>
      </c>
      <c r="E15" s="11">
        <v>1.663624</v>
      </c>
      <c r="F15" s="11">
        <v>4.0045650000000004</v>
      </c>
      <c r="G15" s="11">
        <v>2.923</v>
      </c>
      <c r="H15" s="11">
        <v>3.891076</v>
      </c>
      <c r="I15" s="11">
        <v>1.8550800000000001</v>
      </c>
      <c r="J15" s="11">
        <v>3.6035300000000001</v>
      </c>
      <c r="K15" s="11">
        <v>2.6991830000000001</v>
      </c>
      <c r="L15" s="11">
        <v>3.2921779999999998</v>
      </c>
      <c r="M15" s="11">
        <v>3.20818</v>
      </c>
      <c r="N15" s="11">
        <v>2.2439520000000002</v>
      </c>
      <c r="O15">
        <v>0.54515750911374783</v>
      </c>
      <c r="P15" s="11">
        <v>6.419721</v>
      </c>
      <c r="Q15" s="11">
        <v>2.0271849999999998</v>
      </c>
      <c r="R15" s="11">
        <v>3.3390949999999999</v>
      </c>
      <c r="S15" s="11">
        <v>4.1931669999999999</v>
      </c>
      <c r="T15" s="11">
        <v>3.2996249999999998</v>
      </c>
      <c r="U15" s="11">
        <v>4.7241869999999997</v>
      </c>
      <c r="V15" s="11">
        <v>6.0595230000000004</v>
      </c>
      <c r="W15" s="11">
        <v>4.681559</v>
      </c>
      <c r="X15" s="11">
        <v>5.1074010000000003</v>
      </c>
      <c r="Y15" s="11">
        <v>3.4949140000000001</v>
      </c>
      <c r="Z15" s="11">
        <v>4.8750179999999999</v>
      </c>
      <c r="AA15" s="11">
        <v>3.6718419999999998</v>
      </c>
      <c r="AB15" s="11">
        <v>2.4470550000000002</v>
      </c>
      <c r="AC15" s="11">
        <v>3.9372090000000002</v>
      </c>
      <c r="AD15">
        <v>7.175967</v>
      </c>
      <c r="AE15">
        <v>5.8772789999999997</v>
      </c>
      <c r="AF15">
        <v>5.9326699999999999</v>
      </c>
      <c r="AG15">
        <v>5.6845290000000004</v>
      </c>
      <c r="AH15">
        <v>5.5304070000000003</v>
      </c>
      <c r="AI15">
        <v>6.2809410000000003</v>
      </c>
      <c r="AJ15">
        <v>5.9354110000000002</v>
      </c>
      <c r="AK15">
        <v>4.0140570000000002</v>
      </c>
      <c r="AL15">
        <v>3.6912769999999999</v>
      </c>
      <c r="AM15">
        <v>2.3690560000000001</v>
      </c>
      <c r="AN15">
        <v>2.0235629999999998</v>
      </c>
      <c r="AO15">
        <v>1.3080830000000001</v>
      </c>
      <c r="AP15">
        <v>4.8647539999999996</v>
      </c>
      <c r="AQ15">
        <v>5.3433070000000003</v>
      </c>
      <c r="AR15">
        <v>4.444712</v>
      </c>
      <c r="AS15">
        <v>3.9199229999999998</v>
      </c>
    </row>
    <row r="16" spans="1:45" x14ac:dyDescent="0.55000000000000004">
      <c r="A16" s="3">
        <v>16</v>
      </c>
      <c r="B16" s="11">
        <v>9.2073780000000003</v>
      </c>
      <c r="C16" s="11">
        <v>8.4278410000000008</v>
      </c>
      <c r="D16" s="11">
        <v>8.0485769999999999</v>
      </c>
      <c r="E16" s="11">
        <v>6.7020359999999997</v>
      </c>
      <c r="F16" s="11">
        <v>8.129365</v>
      </c>
      <c r="G16" s="11">
        <v>7.2442060000000001</v>
      </c>
      <c r="H16" s="11">
        <v>7.4594440000000004</v>
      </c>
      <c r="I16" s="11">
        <v>5.1262879999999997</v>
      </c>
      <c r="J16" s="11">
        <v>7.0651450000000002</v>
      </c>
      <c r="K16" s="11">
        <v>6.6207750000000001</v>
      </c>
      <c r="L16" s="11">
        <v>6.6931310000000002</v>
      </c>
      <c r="M16" s="11">
        <v>5.5382699999999998</v>
      </c>
      <c r="N16" s="11">
        <v>5.5805629999999997</v>
      </c>
      <c r="O16" s="11">
        <v>6.419721</v>
      </c>
      <c r="P16">
        <v>0.97514257341741939</v>
      </c>
      <c r="Q16" s="11">
        <v>4.5433370000000002</v>
      </c>
      <c r="R16" s="11">
        <v>4.3724179999999997</v>
      </c>
      <c r="S16" s="11">
        <v>4.1225040000000002</v>
      </c>
      <c r="T16" s="11">
        <v>3.1584880000000002</v>
      </c>
      <c r="U16" s="11">
        <v>1.8508500000000001</v>
      </c>
      <c r="V16" s="11">
        <v>1.318111</v>
      </c>
      <c r="W16" s="11">
        <v>2.1305139999999998</v>
      </c>
      <c r="X16" s="11">
        <v>3.814333</v>
      </c>
      <c r="Y16" s="11">
        <v>3.5333540000000001</v>
      </c>
      <c r="Z16" s="11">
        <v>2.878679</v>
      </c>
      <c r="AA16" s="11">
        <v>3.7570779999999999</v>
      </c>
      <c r="AB16" s="11">
        <v>6.033811</v>
      </c>
      <c r="AC16" s="11">
        <v>6.9016120000000001</v>
      </c>
      <c r="AD16">
        <v>2.7331850000000002</v>
      </c>
      <c r="AE16">
        <v>3.935743</v>
      </c>
      <c r="AF16">
        <v>2.9153539999999998</v>
      </c>
      <c r="AG16">
        <v>4.1325260000000004</v>
      </c>
      <c r="AH16">
        <v>2.0127860000000002</v>
      </c>
      <c r="AI16">
        <v>1.703846</v>
      </c>
      <c r="AJ16">
        <v>2.5030920000000001</v>
      </c>
      <c r="AK16">
        <v>4.2779410000000002</v>
      </c>
      <c r="AL16">
        <v>4.5303579999999997</v>
      </c>
      <c r="AM16">
        <v>5.6492060000000004</v>
      </c>
      <c r="AN16">
        <v>6.2035530000000003</v>
      </c>
      <c r="AO16">
        <v>7.6272260000000003</v>
      </c>
      <c r="AP16">
        <v>9.9600139999999993</v>
      </c>
      <c r="AQ16">
        <v>10.243327000000001</v>
      </c>
      <c r="AR16">
        <v>9.9988080000000004</v>
      </c>
      <c r="AS16">
        <v>9.9214169999999999</v>
      </c>
    </row>
    <row r="17" spans="1:45" x14ac:dyDescent="0.55000000000000004">
      <c r="A17" s="3">
        <v>17</v>
      </c>
      <c r="B17" s="11">
        <v>5.0128649999999997</v>
      </c>
      <c r="C17" s="11">
        <v>4.0225869999999997</v>
      </c>
      <c r="D17" s="11">
        <v>3.8209559999999998</v>
      </c>
      <c r="E17" s="11">
        <v>2.2399879999999999</v>
      </c>
      <c r="F17" s="11">
        <v>4.2086119999999996</v>
      </c>
      <c r="G17" s="11">
        <v>3.1168130000000001</v>
      </c>
      <c r="H17" s="11">
        <v>3.7453400000000001</v>
      </c>
      <c r="I17" s="11">
        <v>1.88906</v>
      </c>
      <c r="J17" s="11">
        <v>3.3455409999999999</v>
      </c>
      <c r="K17" s="11">
        <v>2.5602079999999998</v>
      </c>
      <c r="L17" s="11">
        <v>2.9325489999999999</v>
      </c>
      <c r="M17" s="11">
        <v>2.1448360000000002</v>
      </c>
      <c r="N17" s="11">
        <v>1.47017</v>
      </c>
      <c r="O17" s="11">
        <v>2.0271849999999998</v>
      </c>
      <c r="P17" s="11">
        <v>4.5433370000000002</v>
      </c>
      <c r="Q17">
        <v>0.93119623223392767</v>
      </c>
      <c r="R17" s="11">
        <v>1.6093280000000001</v>
      </c>
      <c r="S17" s="11">
        <v>2.4027539999999998</v>
      </c>
      <c r="T17" s="11">
        <v>1.6841870000000001</v>
      </c>
      <c r="U17" s="11">
        <v>2.7590690000000002</v>
      </c>
      <c r="V17" s="11">
        <v>4.4261759999999999</v>
      </c>
      <c r="W17" s="11">
        <v>3.1351279999999999</v>
      </c>
      <c r="X17" s="11">
        <v>3.2393649999999998</v>
      </c>
      <c r="Y17" s="11">
        <v>1.490923</v>
      </c>
      <c r="Z17" s="11">
        <v>2.8704700000000001</v>
      </c>
      <c r="AA17" s="11">
        <v>2.8014260000000002</v>
      </c>
      <c r="AB17" s="11">
        <v>1.976464</v>
      </c>
      <c r="AC17" s="11">
        <v>3.4502809999999999</v>
      </c>
      <c r="AD17">
        <v>5.795674</v>
      </c>
      <c r="AE17">
        <v>4.0065470000000003</v>
      </c>
      <c r="AF17">
        <v>3.9385059999999998</v>
      </c>
      <c r="AG17">
        <v>3.8576169999999999</v>
      </c>
      <c r="AH17">
        <v>3.5037989999999999</v>
      </c>
      <c r="AI17">
        <v>4.258273</v>
      </c>
      <c r="AJ17">
        <v>4.615812</v>
      </c>
      <c r="AK17">
        <v>3.451552</v>
      </c>
      <c r="AL17">
        <v>3.2770380000000001</v>
      </c>
      <c r="AM17">
        <v>2.8134890000000001</v>
      </c>
      <c r="AN17">
        <v>2.9453839999999998</v>
      </c>
      <c r="AO17">
        <v>3.3305449999999999</v>
      </c>
      <c r="AP17">
        <v>5.7287939999999997</v>
      </c>
      <c r="AQ17">
        <v>6.1058139999999996</v>
      </c>
      <c r="AR17">
        <v>5.6006679999999998</v>
      </c>
      <c r="AS17">
        <v>5.4041709999999998</v>
      </c>
    </row>
    <row r="18" spans="1:45" x14ac:dyDescent="0.55000000000000004">
      <c r="A18" s="3">
        <v>18</v>
      </c>
      <c r="B18" s="11">
        <v>4.8589120000000001</v>
      </c>
      <c r="C18" s="11">
        <v>4.2189670000000001</v>
      </c>
      <c r="D18" s="11">
        <v>3.7323539999999999</v>
      </c>
      <c r="E18" s="11">
        <v>2.6993649999999998</v>
      </c>
      <c r="F18" s="11">
        <v>3.7570060000000001</v>
      </c>
      <c r="G18" s="11">
        <v>2.915117</v>
      </c>
      <c r="H18" s="11">
        <v>3.0979540000000001</v>
      </c>
      <c r="I18" s="11">
        <v>3.4866549999999998</v>
      </c>
      <c r="J18" s="11">
        <v>2.697721</v>
      </c>
      <c r="K18" s="11">
        <v>2.2968839999999999</v>
      </c>
      <c r="L18" s="11">
        <v>2.3207589999999998</v>
      </c>
      <c r="M18" s="11">
        <v>1.1700440000000001</v>
      </c>
      <c r="N18" s="11">
        <v>1.4265000000000001</v>
      </c>
      <c r="O18" s="11">
        <v>3.3390949999999999</v>
      </c>
      <c r="P18" s="11">
        <v>4.3724179999999997</v>
      </c>
      <c r="Q18" s="11">
        <v>1.6093280000000001</v>
      </c>
      <c r="R18">
        <v>1.1570726471864137</v>
      </c>
      <c r="S18" s="11">
        <v>0.85409199999999996</v>
      </c>
      <c r="T18" s="11">
        <v>2.5552820000000001</v>
      </c>
      <c r="U18" s="11">
        <v>2.5587119999999999</v>
      </c>
      <c r="V18" s="11">
        <v>4.7227480000000002</v>
      </c>
      <c r="W18" s="11">
        <v>3.7207340000000002</v>
      </c>
      <c r="X18" s="11">
        <v>1.779042</v>
      </c>
      <c r="Y18" s="11">
        <v>0.90514700000000003</v>
      </c>
      <c r="Z18" s="11">
        <v>1.8266929999999999</v>
      </c>
      <c r="AA18" s="11">
        <v>4.0182989999999998</v>
      </c>
      <c r="AB18" s="11">
        <v>1.7588029999999999</v>
      </c>
      <c r="AC18" s="11">
        <v>2.5798640000000002</v>
      </c>
      <c r="AD18">
        <v>6.3050899999999999</v>
      </c>
      <c r="AE18">
        <v>2.5436459999999999</v>
      </c>
      <c r="AF18">
        <v>2.761288</v>
      </c>
      <c r="AG18">
        <v>2.345475</v>
      </c>
      <c r="AH18">
        <v>2.7249530000000002</v>
      </c>
      <c r="AI18">
        <v>3.495384</v>
      </c>
      <c r="AJ18">
        <v>5.2757100000000001</v>
      </c>
      <c r="AK18">
        <v>4.7517129999999996</v>
      </c>
      <c r="AL18">
        <v>4.6553240000000002</v>
      </c>
      <c r="AM18">
        <v>4.4107609999999999</v>
      </c>
      <c r="AN18">
        <v>4.5525529999999996</v>
      </c>
      <c r="AO18">
        <v>4.6175860000000002</v>
      </c>
      <c r="AP18">
        <v>5.6142539999999999</v>
      </c>
      <c r="AQ18">
        <v>5.8766309999999997</v>
      </c>
      <c r="AR18">
        <v>5.7408520000000003</v>
      </c>
      <c r="AS18">
        <v>5.8495819999999998</v>
      </c>
    </row>
    <row r="19" spans="1:45" x14ac:dyDescent="0.55000000000000004">
      <c r="A19" s="3">
        <v>19</v>
      </c>
      <c r="B19" s="11">
        <v>5.345885</v>
      </c>
      <c r="C19" s="11">
        <v>4.8591980000000001</v>
      </c>
      <c r="D19" s="11">
        <v>4.290349</v>
      </c>
      <c r="E19" s="11">
        <v>3.4700329999999999</v>
      </c>
      <c r="F19" s="11">
        <v>4.1533749999999996</v>
      </c>
      <c r="G19" s="11">
        <v>3.478316</v>
      </c>
      <c r="H19" s="11">
        <v>3.4350719999999999</v>
      </c>
      <c r="I19" s="11">
        <v>4.2359790000000004</v>
      </c>
      <c r="J19" s="11">
        <v>3.0712609999999998</v>
      </c>
      <c r="K19" s="11">
        <v>2.8925679999999998</v>
      </c>
      <c r="L19" s="11">
        <v>2.7569460000000001</v>
      </c>
      <c r="M19" s="11">
        <v>1.6378379999999999</v>
      </c>
      <c r="N19" s="11">
        <v>2.2041759999999999</v>
      </c>
      <c r="O19" s="11">
        <v>4.1931669999999999</v>
      </c>
      <c r="P19" s="11">
        <v>4.1225040000000002</v>
      </c>
      <c r="Q19" s="11">
        <v>2.4027539999999998</v>
      </c>
      <c r="R19" s="11">
        <v>0.85409199999999996</v>
      </c>
      <c r="S19">
        <v>0.52524989710854031</v>
      </c>
      <c r="T19" s="11">
        <v>2.9942359999999999</v>
      </c>
      <c r="U19" s="11">
        <v>2.4621680000000001</v>
      </c>
      <c r="V19" s="11">
        <v>4.7050679999999998</v>
      </c>
      <c r="W19" s="11">
        <v>3.9130560000000001</v>
      </c>
      <c r="X19" s="11">
        <v>0.93837800000000005</v>
      </c>
      <c r="Y19" s="11">
        <v>1.214143</v>
      </c>
      <c r="Z19" s="11">
        <v>1.295115</v>
      </c>
      <c r="AA19" s="11">
        <v>4.5127040000000003</v>
      </c>
      <c r="AB19" s="11">
        <v>2.439387</v>
      </c>
      <c r="AC19" s="11">
        <v>2.8298009999999998</v>
      </c>
      <c r="AD19">
        <v>6.3443050000000003</v>
      </c>
      <c r="AE19">
        <v>1.6935960000000001</v>
      </c>
      <c r="AF19">
        <v>2.0340410000000002</v>
      </c>
      <c r="AG19">
        <v>1.491541</v>
      </c>
      <c r="AH19">
        <v>2.2485780000000002</v>
      </c>
      <c r="AI19">
        <v>2.9665539999999999</v>
      </c>
      <c r="AJ19">
        <v>5.4271710000000004</v>
      </c>
      <c r="AK19">
        <v>5.268999</v>
      </c>
      <c r="AL19">
        <v>5.2214590000000003</v>
      </c>
      <c r="AM19">
        <v>5.1523000000000003</v>
      </c>
      <c r="AN19">
        <v>5.3419749999999997</v>
      </c>
      <c r="AO19">
        <v>5.4702549999999999</v>
      </c>
      <c r="AP19">
        <v>6.0969829999999998</v>
      </c>
      <c r="AQ19">
        <v>6.3020350000000001</v>
      </c>
      <c r="AR19">
        <v>6.3224450000000001</v>
      </c>
      <c r="AS19">
        <v>6.532203</v>
      </c>
    </row>
    <row r="20" spans="1:45" x14ac:dyDescent="0.55000000000000004">
      <c r="A20" s="3">
        <v>20</v>
      </c>
      <c r="B20" s="11">
        <v>6.6953060000000004</v>
      </c>
      <c r="C20" s="11">
        <v>5.696777</v>
      </c>
      <c r="D20" s="11">
        <v>5.502802</v>
      </c>
      <c r="E20" s="11">
        <v>3.9118170000000001</v>
      </c>
      <c r="F20" s="11">
        <v>5.8492430000000004</v>
      </c>
      <c r="G20" s="11">
        <v>4.782451</v>
      </c>
      <c r="H20" s="11">
        <v>5.329186</v>
      </c>
      <c r="I20" s="11">
        <v>2.026888</v>
      </c>
      <c r="J20" s="11">
        <v>4.9200569999999999</v>
      </c>
      <c r="K20" s="11">
        <v>4.2035559999999998</v>
      </c>
      <c r="L20" s="11">
        <v>4.5054559999999997</v>
      </c>
      <c r="M20" s="11">
        <v>3.5325280000000001</v>
      </c>
      <c r="N20" s="11">
        <v>3.0897160000000001</v>
      </c>
      <c r="O20" s="11">
        <v>3.2996249999999998</v>
      </c>
      <c r="P20" s="11">
        <v>3.1584880000000002</v>
      </c>
      <c r="Q20" s="11">
        <v>1.6841870000000001</v>
      </c>
      <c r="R20" s="11">
        <v>2.5552820000000001</v>
      </c>
      <c r="S20" s="11">
        <v>2.9942359999999999</v>
      </c>
      <c r="T20">
        <v>0.53736829163814404</v>
      </c>
      <c r="U20" s="11">
        <v>1.7131259999999999</v>
      </c>
      <c r="V20" s="11">
        <v>2.7936879999999999</v>
      </c>
      <c r="W20" s="11">
        <v>1.458196</v>
      </c>
      <c r="X20" s="11">
        <v>3.4854240000000001</v>
      </c>
      <c r="Y20" s="11">
        <v>1.7842009999999999</v>
      </c>
      <c r="Z20" s="11">
        <v>2.6707830000000001</v>
      </c>
      <c r="AA20" s="11">
        <v>1.5223340000000001</v>
      </c>
      <c r="AB20" s="11">
        <v>3.6020490000000001</v>
      </c>
      <c r="AC20" s="11">
        <v>4.946752</v>
      </c>
      <c r="AD20">
        <v>4.1116609999999998</v>
      </c>
      <c r="AE20">
        <v>4.1373239999999996</v>
      </c>
      <c r="AF20">
        <v>3.6424099999999999</v>
      </c>
      <c r="AG20">
        <v>4.1092370000000003</v>
      </c>
      <c r="AH20">
        <v>2.831054</v>
      </c>
      <c r="AI20">
        <v>3.4304670000000002</v>
      </c>
      <c r="AJ20">
        <v>2.9369339999999999</v>
      </c>
      <c r="AK20">
        <v>2.2832300000000001</v>
      </c>
      <c r="AL20">
        <v>2.277412</v>
      </c>
      <c r="AM20">
        <v>2.7253729999999998</v>
      </c>
      <c r="AN20">
        <v>3.1815899999999999</v>
      </c>
      <c r="AO20">
        <v>4.4729650000000003</v>
      </c>
      <c r="AP20">
        <v>7.4129430000000003</v>
      </c>
      <c r="AQ20">
        <v>7.7867620000000004</v>
      </c>
      <c r="AR20">
        <v>7.2704149999999998</v>
      </c>
      <c r="AS20">
        <v>7.0124449999999996</v>
      </c>
    </row>
    <row r="21" spans="1:45" x14ac:dyDescent="0.55000000000000004">
      <c r="A21" s="3">
        <v>21</v>
      </c>
      <c r="B21" s="11">
        <v>7.3633689999999996</v>
      </c>
      <c r="C21" s="11">
        <v>6.5788010000000003</v>
      </c>
      <c r="D21" s="11">
        <v>6.200056</v>
      </c>
      <c r="E21" s="11">
        <v>4.8638719999999998</v>
      </c>
      <c r="F21" s="11">
        <v>6.3076800000000004</v>
      </c>
      <c r="G21" s="11">
        <v>5.3984189999999996</v>
      </c>
      <c r="H21" s="11">
        <v>5.6566660000000004</v>
      </c>
      <c r="I21" s="11">
        <v>3.7228210000000002</v>
      </c>
      <c r="J21" s="11">
        <v>5.255719</v>
      </c>
      <c r="K21" s="11">
        <v>4.7754370000000002</v>
      </c>
      <c r="L21" s="11">
        <v>4.8730739999999999</v>
      </c>
      <c r="M21" s="11">
        <v>3.7286649999999999</v>
      </c>
      <c r="N21" s="11">
        <v>3.729714</v>
      </c>
      <c r="O21" s="11">
        <v>4.7241869999999997</v>
      </c>
      <c r="P21" s="11">
        <v>1.8508500000000001</v>
      </c>
      <c r="Q21" s="11">
        <v>2.7590690000000002</v>
      </c>
      <c r="R21" s="11">
        <v>2.5587119999999999</v>
      </c>
      <c r="S21" s="11">
        <v>2.4621680000000001</v>
      </c>
      <c r="T21" s="11">
        <v>1.7131259999999999</v>
      </c>
      <c r="U21">
        <v>0.96452231487761697</v>
      </c>
      <c r="V21" s="11">
        <v>2.2432620000000001</v>
      </c>
      <c r="W21" s="11">
        <v>1.6847810000000001</v>
      </c>
      <c r="X21" s="11">
        <v>2.46652</v>
      </c>
      <c r="Y21" s="11">
        <v>1.69106</v>
      </c>
      <c r="Z21" s="11">
        <v>1.455586</v>
      </c>
      <c r="AA21" s="11">
        <v>2.929856</v>
      </c>
      <c r="AB21" s="11">
        <v>4.1851399999999996</v>
      </c>
      <c r="AC21" s="11">
        <v>5.1260370000000002</v>
      </c>
      <c r="AD21">
        <v>3.888239</v>
      </c>
      <c r="AE21">
        <v>2.9019180000000002</v>
      </c>
      <c r="AF21">
        <v>2.140158</v>
      </c>
      <c r="AG21">
        <v>2.9818099999999998</v>
      </c>
      <c r="AH21">
        <v>1.182137</v>
      </c>
      <c r="AI21">
        <v>1.717697</v>
      </c>
      <c r="AJ21">
        <v>3.051892</v>
      </c>
      <c r="AK21">
        <v>3.647545</v>
      </c>
      <c r="AL21">
        <v>3.7624629999999999</v>
      </c>
      <c r="AM21">
        <v>4.4362050000000002</v>
      </c>
      <c r="AN21">
        <v>4.890555</v>
      </c>
      <c r="AO21">
        <v>5.9871499999999997</v>
      </c>
      <c r="AP21">
        <v>8.1147320000000001</v>
      </c>
      <c r="AQ21">
        <v>8.4071560000000005</v>
      </c>
      <c r="AR21">
        <v>8.1484059999999996</v>
      </c>
      <c r="AS21">
        <v>8.0894829999999995</v>
      </c>
    </row>
    <row r="22" spans="1:45" x14ac:dyDescent="0.55000000000000004">
      <c r="A22" s="3">
        <v>22</v>
      </c>
      <c r="B22" s="11">
        <v>9.3663279999999993</v>
      </c>
      <c r="C22" s="11">
        <v>8.4441109999999995</v>
      </c>
      <c r="D22" s="11">
        <v>8.1781559999999995</v>
      </c>
      <c r="E22" s="11">
        <v>6.6652069999999997</v>
      </c>
      <c r="F22" s="11">
        <v>8.401923</v>
      </c>
      <c r="G22" s="11">
        <v>7.4110040000000001</v>
      </c>
      <c r="H22" s="11">
        <v>7.79345</v>
      </c>
      <c r="I22" s="11">
        <v>4.5033750000000001</v>
      </c>
      <c r="J22" s="11">
        <v>7.3850680000000004</v>
      </c>
      <c r="K22" s="11">
        <v>6.8005659999999999</v>
      </c>
      <c r="L22" s="11">
        <v>6.9857519999999997</v>
      </c>
      <c r="M22" s="11">
        <v>5.8767300000000002</v>
      </c>
      <c r="N22" s="11">
        <v>5.6985219999999996</v>
      </c>
      <c r="O22" s="11">
        <v>6.0595230000000004</v>
      </c>
      <c r="P22" s="11">
        <v>1.318111</v>
      </c>
      <c r="Q22" s="11">
        <v>4.4261759999999999</v>
      </c>
      <c r="R22" s="11">
        <v>4.7227480000000002</v>
      </c>
      <c r="S22" s="11">
        <v>4.7050679999999998</v>
      </c>
      <c r="T22" s="11">
        <v>2.7936879999999999</v>
      </c>
      <c r="U22" s="11">
        <v>2.2432620000000001</v>
      </c>
      <c r="V22">
        <v>0.93980623958161624</v>
      </c>
      <c r="W22" s="11">
        <v>1.3827419999999999</v>
      </c>
      <c r="X22" s="11">
        <v>4.6345980000000004</v>
      </c>
      <c r="Y22" s="11">
        <v>3.8198240000000001</v>
      </c>
      <c r="Z22" s="11">
        <v>3.6253060000000001</v>
      </c>
      <c r="AA22" s="11">
        <v>2.8474520000000001</v>
      </c>
      <c r="AB22" s="11">
        <v>6.1935929999999999</v>
      </c>
      <c r="AC22" s="11">
        <v>7.3018400000000003</v>
      </c>
      <c r="AD22">
        <v>1.6561760000000001</v>
      </c>
      <c r="AE22">
        <v>4.9214989999999998</v>
      </c>
      <c r="AF22">
        <v>3.9655260000000001</v>
      </c>
      <c r="AG22">
        <v>5.0678159999999997</v>
      </c>
      <c r="AH22">
        <v>2.956188</v>
      </c>
      <c r="AI22">
        <v>2.8926949999999998</v>
      </c>
      <c r="AJ22">
        <v>1.1852499999999999</v>
      </c>
      <c r="AK22">
        <v>3.2140840000000002</v>
      </c>
      <c r="AL22">
        <v>3.5189780000000002</v>
      </c>
      <c r="AM22">
        <v>4.8461540000000003</v>
      </c>
      <c r="AN22">
        <v>5.4515560000000001</v>
      </c>
      <c r="AO22">
        <v>7.1542649999999997</v>
      </c>
      <c r="AP22">
        <v>10.103133</v>
      </c>
      <c r="AQ22">
        <v>10.441139</v>
      </c>
      <c r="AR22">
        <v>10.024131000000001</v>
      </c>
      <c r="AS22">
        <v>9.8035689999999995</v>
      </c>
    </row>
    <row r="23" spans="1:45" x14ac:dyDescent="0.55000000000000004">
      <c r="A23" s="3">
        <v>23</v>
      </c>
      <c r="B23" s="11">
        <v>8.1350479999999994</v>
      </c>
      <c r="C23" s="11">
        <v>7.15381</v>
      </c>
      <c r="D23" s="11">
        <v>6.9423019999999998</v>
      </c>
      <c r="E23" s="11">
        <v>5.368951</v>
      </c>
      <c r="F23" s="11">
        <v>7.2445659999999998</v>
      </c>
      <c r="G23" s="11">
        <v>6.2041250000000003</v>
      </c>
      <c r="H23" s="11">
        <v>6.6848859999999997</v>
      </c>
      <c r="I23" s="11">
        <v>3.1350799999999999</v>
      </c>
      <c r="J23" s="11">
        <v>6.273822</v>
      </c>
      <c r="K23" s="11">
        <v>5.6106819999999997</v>
      </c>
      <c r="L23" s="11">
        <v>5.8635320000000002</v>
      </c>
      <c r="M23" s="11">
        <v>4.8153430000000004</v>
      </c>
      <c r="N23" s="11">
        <v>4.4955689999999997</v>
      </c>
      <c r="O23" s="11">
        <v>4.681559</v>
      </c>
      <c r="P23" s="11">
        <v>2.1305139999999998</v>
      </c>
      <c r="Q23" s="11">
        <v>3.1351279999999999</v>
      </c>
      <c r="R23" s="11">
        <v>3.7207340000000002</v>
      </c>
      <c r="S23" s="11">
        <v>3.9130560000000001</v>
      </c>
      <c r="T23" s="11">
        <v>1.458196</v>
      </c>
      <c r="U23" s="11">
        <v>1.6847810000000001</v>
      </c>
      <c r="V23" s="11">
        <v>1.3827419999999999</v>
      </c>
      <c r="W23">
        <v>0.91409908574374821</v>
      </c>
      <c r="X23" s="11">
        <v>4.1049980000000001</v>
      </c>
      <c r="Y23" s="11">
        <v>2.8317389999999998</v>
      </c>
      <c r="Z23" s="11">
        <v>3.1152639999999998</v>
      </c>
      <c r="AA23" s="11">
        <v>1.626714</v>
      </c>
      <c r="AB23" s="11">
        <v>5.0037380000000002</v>
      </c>
      <c r="AC23" s="11">
        <v>6.2498760000000004</v>
      </c>
      <c r="AD23">
        <v>2.6694550000000001</v>
      </c>
      <c r="AE23">
        <v>4.5843939999999996</v>
      </c>
      <c r="AF23">
        <v>3.802575</v>
      </c>
      <c r="AG23">
        <v>4.651821</v>
      </c>
      <c r="AH23">
        <v>2.7945449999999998</v>
      </c>
      <c r="AI23">
        <v>3.0941179999999999</v>
      </c>
      <c r="AJ23">
        <v>1.5568839999999999</v>
      </c>
      <c r="AK23">
        <v>2.1926190000000001</v>
      </c>
      <c r="AL23">
        <v>2.4139629999999999</v>
      </c>
      <c r="AM23">
        <v>3.5513919999999999</v>
      </c>
      <c r="AN23">
        <v>4.1326650000000003</v>
      </c>
      <c r="AO23">
        <v>5.7726160000000002</v>
      </c>
      <c r="AP23">
        <v>8.8588380000000004</v>
      </c>
      <c r="AQ23">
        <v>9.2225479999999997</v>
      </c>
      <c r="AR23">
        <v>8.7283329999999992</v>
      </c>
      <c r="AS23">
        <v>8.4608930000000004</v>
      </c>
    </row>
    <row r="24" spans="1:45" x14ac:dyDescent="0.55000000000000004">
      <c r="A24" s="3">
        <v>24</v>
      </c>
      <c r="B24" s="11">
        <v>6.1185179999999999</v>
      </c>
      <c r="C24" s="11">
        <v>5.7295109999999996</v>
      </c>
      <c r="D24" s="11">
        <v>5.1197910000000002</v>
      </c>
      <c r="E24" s="11">
        <v>4.4007560000000003</v>
      </c>
      <c r="F24" s="11">
        <v>4.8823480000000004</v>
      </c>
      <c r="G24" s="11">
        <v>4.3219969999999996</v>
      </c>
      <c r="H24" s="11">
        <v>4.1425669999999997</v>
      </c>
      <c r="I24" s="11">
        <v>4.9930009999999996</v>
      </c>
      <c r="J24" s="11">
        <v>3.8152780000000002</v>
      </c>
      <c r="K24" s="11">
        <v>3.7623660000000001</v>
      </c>
      <c r="L24" s="11">
        <v>3.5496159999999999</v>
      </c>
      <c r="M24" s="11">
        <v>2.5000710000000002</v>
      </c>
      <c r="N24" s="11">
        <v>3.139764</v>
      </c>
      <c r="O24" s="11">
        <v>5.1074010000000003</v>
      </c>
      <c r="P24" s="11">
        <v>3.814333</v>
      </c>
      <c r="Q24" s="11">
        <v>3.2393649999999998</v>
      </c>
      <c r="R24" s="11">
        <v>1.779042</v>
      </c>
      <c r="S24" s="11">
        <v>0.93837800000000005</v>
      </c>
      <c r="T24" s="11">
        <v>3.4854240000000001</v>
      </c>
      <c r="U24" s="11">
        <v>2.46652</v>
      </c>
      <c r="V24" s="11">
        <v>4.6345980000000004</v>
      </c>
      <c r="W24" s="11">
        <v>4.1049980000000001</v>
      </c>
      <c r="X24">
        <v>0.83388575561178091</v>
      </c>
      <c r="Y24" s="11">
        <v>1.8488359999999999</v>
      </c>
      <c r="Z24" s="11">
        <v>1.015496</v>
      </c>
      <c r="AA24" s="11">
        <v>4.9941040000000001</v>
      </c>
      <c r="AB24" s="11">
        <v>3.3495780000000002</v>
      </c>
      <c r="AC24" s="11">
        <v>3.502936</v>
      </c>
      <c r="AD24">
        <v>6.2900549999999997</v>
      </c>
      <c r="AE24">
        <v>0.77169100000000002</v>
      </c>
      <c r="AF24">
        <v>1.23075</v>
      </c>
      <c r="AG24">
        <v>0.63790999999999998</v>
      </c>
      <c r="AH24">
        <v>1.8062290000000001</v>
      </c>
      <c r="AI24">
        <v>2.3812669999999998</v>
      </c>
      <c r="AJ24">
        <v>5.5179679999999998</v>
      </c>
      <c r="AK24">
        <v>5.7563139999999997</v>
      </c>
      <c r="AL24">
        <v>5.7621880000000001</v>
      </c>
      <c r="AM24">
        <v>5.8894520000000004</v>
      </c>
      <c r="AN24">
        <v>6.1369819999999997</v>
      </c>
      <c r="AO24">
        <v>6.3938670000000002</v>
      </c>
      <c r="AP24">
        <v>6.859432</v>
      </c>
      <c r="AQ24">
        <v>7.0210720000000002</v>
      </c>
      <c r="AR24">
        <v>7.1495870000000004</v>
      </c>
      <c r="AS24">
        <v>7.4180429999999999</v>
      </c>
    </row>
    <row r="25" spans="1:45" x14ac:dyDescent="0.55000000000000004">
      <c r="A25" s="3">
        <v>25</v>
      </c>
      <c r="B25" s="11">
        <v>5.6743370000000004</v>
      </c>
      <c r="C25" s="11">
        <v>4.9282130000000004</v>
      </c>
      <c r="D25" s="11">
        <v>4.5168049999999997</v>
      </c>
      <c r="E25" s="11">
        <v>3.2700010000000002</v>
      </c>
      <c r="F25" s="11">
        <v>4.6211840000000004</v>
      </c>
      <c r="G25" s="11">
        <v>3.7108750000000001</v>
      </c>
      <c r="H25" s="11">
        <v>3.9840010000000001</v>
      </c>
      <c r="I25" s="11">
        <v>3.1471840000000002</v>
      </c>
      <c r="J25" s="11">
        <v>3.5789149999999998</v>
      </c>
      <c r="K25" s="11">
        <v>3.0874239999999999</v>
      </c>
      <c r="L25" s="11">
        <v>3.1893349999999998</v>
      </c>
      <c r="M25" s="11">
        <v>2.059485</v>
      </c>
      <c r="N25" s="11">
        <v>2.0688960000000001</v>
      </c>
      <c r="O25" s="11">
        <v>3.4949140000000001</v>
      </c>
      <c r="P25" s="11">
        <v>3.5333540000000001</v>
      </c>
      <c r="Q25" s="11">
        <v>1.490923</v>
      </c>
      <c r="R25" s="11">
        <v>0.90514700000000003</v>
      </c>
      <c r="S25" s="11">
        <v>1.214143</v>
      </c>
      <c r="T25" s="11">
        <v>1.7842009999999999</v>
      </c>
      <c r="U25" s="11">
        <v>1.69106</v>
      </c>
      <c r="V25" s="11">
        <v>3.8198240000000001</v>
      </c>
      <c r="W25" s="11">
        <v>2.8317389999999998</v>
      </c>
      <c r="X25" s="11">
        <v>1.8488359999999999</v>
      </c>
      <c r="Y25">
        <v>0.36621945257547195</v>
      </c>
      <c r="Z25" s="11">
        <v>1.381694</v>
      </c>
      <c r="AA25" s="11">
        <v>3.2995199999999998</v>
      </c>
      <c r="AB25" s="11">
        <v>2.5033439999999998</v>
      </c>
      <c r="AC25" s="11">
        <v>3.4820859999999998</v>
      </c>
      <c r="AD25">
        <v>5.4003160000000001</v>
      </c>
      <c r="AE25">
        <v>2.5890719999999998</v>
      </c>
      <c r="AF25">
        <v>2.447708</v>
      </c>
      <c r="AG25">
        <v>2.4861080000000002</v>
      </c>
      <c r="AH25">
        <v>2.0998739999999998</v>
      </c>
      <c r="AI25">
        <v>2.8770720000000001</v>
      </c>
      <c r="AJ25">
        <v>4.3823910000000001</v>
      </c>
      <c r="AK25">
        <v>4.0550100000000002</v>
      </c>
      <c r="AL25">
        <v>4.0098710000000004</v>
      </c>
      <c r="AM25">
        <v>4.0406329999999997</v>
      </c>
      <c r="AN25">
        <v>4.3017859999999999</v>
      </c>
      <c r="AO25">
        <v>4.8029440000000001</v>
      </c>
      <c r="AP25">
        <v>6.4266940000000004</v>
      </c>
      <c r="AQ25">
        <v>6.7160960000000003</v>
      </c>
      <c r="AR25">
        <v>6.4857690000000003</v>
      </c>
      <c r="AS25">
        <v>6.4918259999999997</v>
      </c>
    </row>
    <row r="26" spans="1:45" x14ac:dyDescent="0.55000000000000004">
      <c r="A26" s="3">
        <v>26</v>
      </c>
      <c r="B26" s="11">
        <v>6.6110300000000004</v>
      </c>
      <c r="C26" s="11">
        <v>6.0405899999999999</v>
      </c>
      <c r="D26" s="11">
        <v>5.5226800000000003</v>
      </c>
      <c r="E26" s="11">
        <v>4.5065790000000003</v>
      </c>
      <c r="F26" s="11">
        <v>5.4385120000000002</v>
      </c>
      <c r="G26" s="11">
        <v>4.7046650000000003</v>
      </c>
      <c r="H26" s="11">
        <v>4.7264350000000004</v>
      </c>
      <c r="I26" s="11">
        <v>4.4098110000000004</v>
      </c>
      <c r="J26" s="11">
        <v>4.3563710000000002</v>
      </c>
      <c r="K26" s="11">
        <v>4.0976129999999999</v>
      </c>
      <c r="L26" s="11">
        <v>4.0264049999999996</v>
      </c>
      <c r="M26" s="11">
        <v>2.8795839999999999</v>
      </c>
      <c r="N26" s="11">
        <v>3.242686</v>
      </c>
      <c r="O26" s="11">
        <v>4.8750179999999999</v>
      </c>
      <c r="P26" s="11">
        <v>2.878679</v>
      </c>
      <c r="Q26" s="11">
        <v>2.8704700000000001</v>
      </c>
      <c r="R26" s="11">
        <v>1.8266929999999999</v>
      </c>
      <c r="S26" s="11">
        <v>1.295115</v>
      </c>
      <c r="T26" s="11">
        <v>2.6707830000000001</v>
      </c>
      <c r="U26" s="11">
        <v>1.455586</v>
      </c>
      <c r="V26" s="11">
        <v>3.6253060000000001</v>
      </c>
      <c r="W26" s="11">
        <v>3.1152639999999998</v>
      </c>
      <c r="X26" s="11">
        <v>1.015496</v>
      </c>
      <c r="Y26" s="11">
        <v>1.381694</v>
      </c>
      <c r="Z26">
        <v>0.52979024140664577</v>
      </c>
      <c r="AA26" s="11">
        <v>4.1306149999999997</v>
      </c>
      <c r="AB26" s="11">
        <v>3.5822579999999999</v>
      </c>
      <c r="AC26" s="11">
        <v>4.12486</v>
      </c>
      <c r="AD26">
        <v>5.2814550000000002</v>
      </c>
      <c r="AE26">
        <v>1.496888</v>
      </c>
      <c r="AF26">
        <v>1.071885</v>
      </c>
      <c r="AG26">
        <v>1.5371939999999999</v>
      </c>
      <c r="AH26">
        <v>0.953542</v>
      </c>
      <c r="AI26">
        <v>1.689338</v>
      </c>
      <c r="AJ26">
        <v>4.5046119999999998</v>
      </c>
      <c r="AK26">
        <v>4.8859959999999996</v>
      </c>
      <c r="AL26">
        <v>4.9307800000000004</v>
      </c>
      <c r="AM26">
        <v>5.2588290000000004</v>
      </c>
      <c r="AN26">
        <v>5.5889610000000003</v>
      </c>
      <c r="AO26">
        <v>6.1830850000000002</v>
      </c>
      <c r="AP26">
        <v>7.3649290000000001</v>
      </c>
      <c r="AQ26">
        <v>7.5855009999999998</v>
      </c>
      <c r="AR26">
        <v>7.5460779999999996</v>
      </c>
      <c r="AS26">
        <v>7.6761850000000003</v>
      </c>
    </row>
    <row r="27" spans="1:45" x14ac:dyDescent="0.55000000000000004">
      <c r="A27" s="3">
        <v>27</v>
      </c>
      <c r="B27" s="11">
        <v>7.6504430000000001</v>
      </c>
      <c r="C27" s="11">
        <v>6.5189050000000002</v>
      </c>
      <c r="D27" s="11">
        <v>6.4821439999999999</v>
      </c>
      <c r="E27" s="11">
        <v>4.7879149999999999</v>
      </c>
      <c r="F27" s="11">
        <v>6.9725520000000003</v>
      </c>
      <c r="G27" s="11">
        <v>5.8535539999999999</v>
      </c>
      <c r="H27" s="11">
        <v>6.5434869999999998</v>
      </c>
      <c r="I27" s="11">
        <v>1.861494</v>
      </c>
      <c r="J27" s="11">
        <v>6.1459250000000001</v>
      </c>
      <c r="K27" s="11">
        <v>5.3357349999999997</v>
      </c>
      <c r="L27" s="11">
        <v>5.7335839999999996</v>
      </c>
      <c r="M27" s="11">
        <v>4.8850980000000002</v>
      </c>
      <c r="N27" s="11">
        <v>4.2689469999999998</v>
      </c>
      <c r="O27" s="11">
        <v>3.6718419999999998</v>
      </c>
      <c r="P27" s="11">
        <v>3.7570779999999999</v>
      </c>
      <c r="Q27" s="11">
        <v>2.8014260000000002</v>
      </c>
      <c r="R27" s="11">
        <v>4.0182989999999998</v>
      </c>
      <c r="S27" s="11">
        <v>4.5127040000000003</v>
      </c>
      <c r="T27" s="11">
        <v>1.5223340000000001</v>
      </c>
      <c r="U27" s="11">
        <v>2.929856</v>
      </c>
      <c r="V27" s="11">
        <v>2.8474520000000001</v>
      </c>
      <c r="W27" s="11">
        <v>1.626714</v>
      </c>
      <c r="X27" s="11">
        <v>4.9941040000000001</v>
      </c>
      <c r="Y27" s="11">
        <v>3.2995199999999998</v>
      </c>
      <c r="Z27" s="11">
        <v>4.1306149999999997</v>
      </c>
      <c r="AA27">
        <v>0.78087751718704657</v>
      </c>
      <c r="AB27" s="11">
        <v>4.7693859999999999</v>
      </c>
      <c r="AC27" s="11">
        <v>6.2442780000000004</v>
      </c>
      <c r="AD27">
        <v>3.5817709999999998</v>
      </c>
      <c r="AE27">
        <v>5.6193739999999996</v>
      </c>
      <c r="AF27">
        <v>5.0289979999999996</v>
      </c>
      <c r="AG27">
        <v>5.6102959999999999</v>
      </c>
      <c r="AH27">
        <v>4.1118550000000003</v>
      </c>
      <c r="AI27">
        <v>4.5686640000000001</v>
      </c>
      <c r="AJ27">
        <v>2.347728</v>
      </c>
      <c r="AK27">
        <v>0.76253700000000002</v>
      </c>
      <c r="AL27">
        <v>0.83462000000000003</v>
      </c>
      <c r="AM27">
        <v>2.0087069999999998</v>
      </c>
      <c r="AN27">
        <v>2.630414</v>
      </c>
      <c r="AO27">
        <v>4.5446109999999997</v>
      </c>
      <c r="AP27">
        <v>8.3210270000000008</v>
      </c>
      <c r="AQ27">
        <v>8.7461579999999994</v>
      </c>
      <c r="AR27">
        <v>8.0355220000000003</v>
      </c>
      <c r="AS27">
        <v>7.5889290000000003</v>
      </c>
    </row>
    <row r="28" spans="1:45" x14ac:dyDescent="0.55000000000000004">
      <c r="A28" s="3">
        <v>28</v>
      </c>
      <c r="B28" s="11">
        <v>3.1851889999999998</v>
      </c>
      <c r="C28" s="11">
        <v>2.460191</v>
      </c>
      <c r="D28" s="11">
        <v>2.0149240000000002</v>
      </c>
      <c r="E28" s="11">
        <v>1.113273</v>
      </c>
      <c r="F28" s="11">
        <v>2.2472050000000001</v>
      </c>
      <c r="G28" s="11">
        <v>1.220269</v>
      </c>
      <c r="H28" s="11">
        <v>1.775706</v>
      </c>
      <c r="I28" s="11">
        <v>3.5281690000000001</v>
      </c>
      <c r="J28" s="11">
        <v>1.386082</v>
      </c>
      <c r="K28" s="11">
        <v>0.60805600000000004</v>
      </c>
      <c r="L28" s="11">
        <v>0.98464300000000005</v>
      </c>
      <c r="M28" s="11">
        <v>0.91200800000000004</v>
      </c>
      <c r="N28" s="11">
        <v>0.512602</v>
      </c>
      <c r="O28" s="11">
        <v>2.4470550000000002</v>
      </c>
      <c r="P28" s="11">
        <v>6.033811</v>
      </c>
      <c r="Q28" s="11">
        <v>1.976464</v>
      </c>
      <c r="R28" s="11">
        <v>1.7588029999999999</v>
      </c>
      <c r="S28" s="11">
        <v>2.439387</v>
      </c>
      <c r="T28" s="11">
        <v>3.6020490000000001</v>
      </c>
      <c r="U28" s="11">
        <v>4.1851399999999996</v>
      </c>
      <c r="V28" s="11">
        <v>6.1935929999999999</v>
      </c>
      <c r="W28" s="11">
        <v>5.0037380000000002</v>
      </c>
      <c r="X28" s="11">
        <v>3.3495780000000002</v>
      </c>
      <c r="Y28" s="11">
        <v>2.5033439999999998</v>
      </c>
      <c r="Z28" s="11">
        <v>3.5822579999999999</v>
      </c>
      <c r="AA28" s="11">
        <v>4.7693859999999999</v>
      </c>
      <c r="AB28">
        <v>0.70680323588066429</v>
      </c>
      <c r="AC28" s="11">
        <v>1.5806659999999999</v>
      </c>
      <c r="AD28">
        <v>7.6708769999999999</v>
      </c>
      <c r="AE28">
        <v>4.0473650000000001</v>
      </c>
      <c r="AF28">
        <v>4.465471</v>
      </c>
      <c r="AG28">
        <v>3.787836</v>
      </c>
      <c r="AH28">
        <v>4.4819259999999996</v>
      </c>
      <c r="AI28">
        <v>5.2539699999999998</v>
      </c>
      <c r="AJ28">
        <v>6.531739</v>
      </c>
      <c r="AK28">
        <v>5.3889889999999996</v>
      </c>
      <c r="AL28">
        <v>5.1790669999999999</v>
      </c>
      <c r="AM28">
        <v>4.3747259999999999</v>
      </c>
      <c r="AN28">
        <v>4.2618739999999997</v>
      </c>
      <c r="AO28">
        <v>3.4949479999999999</v>
      </c>
      <c r="AP28">
        <v>3.9329040000000002</v>
      </c>
      <c r="AQ28">
        <v>4.2491789999999998</v>
      </c>
      <c r="AR28">
        <v>3.99255</v>
      </c>
      <c r="AS28">
        <v>4.1024320000000003</v>
      </c>
    </row>
    <row r="29" spans="1:45" x14ac:dyDescent="0.55000000000000004">
      <c r="A29" s="3">
        <v>29</v>
      </c>
      <c r="B29" s="11">
        <v>2.6681379999999999</v>
      </c>
      <c r="C29" s="11">
        <v>2.6473100000000001</v>
      </c>
      <c r="D29" s="11">
        <v>1.8875139999999999</v>
      </c>
      <c r="E29" s="11">
        <v>2.3447749999999998</v>
      </c>
      <c r="F29" s="11">
        <v>1.3975</v>
      </c>
      <c r="G29" s="11">
        <v>1.327655</v>
      </c>
      <c r="H29" s="11">
        <v>0.65230399999999999</v>
      </c>
      <c r="I29" s="11">
        <v>5.1050110000000002</v>
      </c>
      <c r="J29" s="11">
        <v>0.47015499999999999</v>
      </c>
      <c r="K29" s="11">
        <v>1.2469399999999999</v>
      </c>
      <c r="L29" s="11">
        <v>0.64570499999999997</v>
      </c>
      <c r="M29" s="11">
        <v>1.435192</v>
      </c>
      <c r="N29" s="11">
        <v>2.01763</v>
      </c>
      <c r="O29" s="11">
        <v>3.9372090000000002</v>
      </c>
      <c r="P29" s="11">
        <v>6.9016120000000001</v>
      </c>
      <c r="Q29" s="11">
        <v>3.4502809999999999</v>
      </c>
      <c r="R29" s="11">
        <v>2.5798640000000002</v>
      </c>
      <c r="S29" s="11">
        <v>2.8298009999999998</v>
      </c>
      <c r="T29" s="11">
        <v>4.946752</v>
      </c>
      <c r="U29" s="11">
        <v>5.1260370000000002</v>
      </c>
      <c r="V29" s="11">
        <v>7.3018400000000003</v>
      </c>
      <c r="W29" s="11">
        <v>6.2498760000000004</v>
      </c>
      <c r="X29" s="11">
        <v>3.502936</v>
      </c>
      <c r="Y29" s="11">
        <v>3.4820859999999998</v>
      </c>
      <c r="Z29" s="11">
        <v>4.12486</v>
      </c>
      <c r="AA29" s="11">
        <v>6.2442780000000004</v>
      </c>
      <c r="AB29" s="11">
        <v>1.5806659999999999</v>
      </c>
      <c r="AC29" s="11">
        <v>0.31093091445110355</v>
      </c>
      <c r="AD29">
        <v>8.8717609999999993</v>
      </c>
      <c r="AE29">
        <v>4.0005240000000004</v>
      </c>
      <c r="AF29">
        <v>4.7328029999999996</v>
      </c>
      <c r="AG29">
        <v>3.6990069999999999</v>
      </c>
      <c r="AH29">
        <v>5.0783680000000002</v>
      </c>
      <c r="AI29">
        <v>5.7869630000000001</v>
      </c>
      <c r="AJ29">
        <v>7.8054030000000001</v>
      </c>
      <c r="AK29">
        <v>6.901046</v>
      </c>
      <c r="AL29">
        <v>6.7133820000000002</v>
      </c>
      <c r="AM29">
        <v>5.9553209999999996</v>
      </c>
      <c r="AN29">
        <v>5.828328</v>
      </c>
      <c r="AO29">
        <v>4.8101399999999996</v>
      </c>
      <c r="AP29">
        <v>3.386037</v>
      </c>
      <c r="AQ29">
        <v>3.5193539999999999</v>
      </c>
      <c r="AR29">
        <v>3.7979240000000001</v>
      </c>
      <c r="AS29">
        <v>4.3147510000000002</v>
      </c>
    </row>
    <row r="30" spans="1:45" x14ac:dyDescent="0.55000000000000004">
      <c r="A30" s="3">
        <v>101</v>
      </c>
      <c r="B30">
        <v>10.802906</v>
      </c>
      <c r="C30">
        <v>9.8018180000000008</v>
      </c>
      <c r="D30">
        <v>9.6100840000000005</v>
      </c>
      <c r="E30">
        <v>8.0179150000000003</v>
      </c>
      <c r="F30">
        <v>9.9078280000000003</v>
      </c>
      <c r="G30">
        <v>8.8734409999999997</v>
      </c>
      <c r="H30">
        <v>9.3327559999999998</v>
      </c>
      <c r="I30">
        <v>5.4316269999999998</v>
      </c>
      <c r="J30">
        <v>8.9220269999999999</v>
      </c>
      <c r="K30">
        <v>8.2783339999999992</v>
      </c>
      <c r="L30">
        <v>8.5149659999999994</v>
      </c>
      <c r="M30">
        <v>7.4379929999999996</v>
      </c>
      <c r="N30">
        <v>7.1638520000000003</v>
      </c>
      <c r="O30">
        <v>7.175967</v>
      </c>
      <c r="P30">
        <v>2.7331850000000002</v>
      </c>
      <c r="Q30">
        <v>5.795674</v>
      </c>
      <c r="R30">
        <v>6.3050899999999999</v>
      </c>
      <c r="S30">
        <v>6.3443050000000003</v>
      </c>
      <c r="T30">
        <v>4.1116609999999998</v>
      </c>
      <c r="U30">
        <v>3.888239</v>
      </c>
      <c r="V30">
        <v>1.6561760000000001</v>
      </c>
      <c r="W30">
        <v>2.6694550000000001</v>
      </c>
      <c r="X30">
        <v>6.2900549999999997</v>
      </c>
      <c r="Y30">
        <v>5.4003160000000001</v>
      </c>
      <c r="Z30">
        <v>5.2814550000000002</v>
      </c>
      <c r="AA30">
        <v>3.5817709999999998</v>
      </c>
      <c r="AB30">
        <v>7.6708769999999999</v>
      </c>
      <c r="AC30">
        <v>8.8717609999999993</v>
      </c>
      <c r="AD30">
        <v>0</v>
      </c>
      <c r="AE30">
        <v>6.5566149999999999</v>
      </c>
      <c r="AF30">
        <v>5.5773489999999999</v>
      </c>
      <c r="AG30">
        <v>6.7132899999999998</v>
      </c>
      <c r="AH30">
        <v>4.587885</v>
      </c>
      <c r="AI30">
        <v>4.4275089999999997</v>
      </c>
      <c r="AJ30">
        <v>1.242664</v>
      </c>
      <c r="AK30">
        <v>3.6007060000000002</v>
      </c>
      <c r="AL30">
        <v>3.9701270000000002</v>
      </c>
      <c r="AM30">
        <v>5.5168549999999996</v>
      </c>
      <c r="AN30">
        <v>6.1558169999999999</v>
      </c>
      <c r="AO30">
        <v>8.1234800000000007</v>
      </c>
      <c r="AP30">
        <v>11.523908</v>
      </c>
      <c r="AQ30">
        <v>11.891451999999999</v>
      </c>
      <c r="AR30">
        <v>11.369505999999999</v>
      </c>
      <c r="AS30">
        <v>11.045582</v>
      </c>
    </row>
    <row r="31" spans="1:45" x14ac:dyDescent="0.55000000000000004">
      <c r="A31" s="3">
        <v>102</v>
      </c>
      <c r="B31">
        <v>6.6596869999999999</v>
      </c>
      <c r="C31">
        <v>6.369103</v>
      </c>
      <c r="D31">
        <v>5.7221489999999999</v>
      </c>
      <c r="E31">
        <v>5.1222560000000001</v>
      </c>
      <c r="F31">
        <v>5.3974710000000004</v>
      </c>
      <c r="G31">
        <v>4.9449870000000002</v>
      </c>
      <c r="H31">
        <v>4.6519110000000001</v>
      </c>
      <c r="I31">
        <v>5.7357100000000001</v>
      </c>
      <c r="J31">
        <v>4.3605479999999996</v>
      </c>
      <c r="K31">
        <v>4.4155660000000001</v>
      </c>
      <c r="L31">
        <v>4.1392689999999996</v>
      </c>
      <c r="M31">
        <v>3.166118</v>
      </c>
      <c r="N31">
        <v>3.8750450000000001</v>
      </c>
      <c r="O31">
        <v>5.8772789999999997</v>
      </c>
      <c r="P31">
        <v>3.935743</v>
      </c>
      <c r="Q31">
        <v>4.0065470000000003</v>
      </c>
      <c r="R31">
        <v>2.5436459999999999</v>
      </c>
      <c r="S31">
        <v>1.6935960000000001</v>
      </c>
      <c r="T31">
        <v>4.1373239999999996</v>
      </c>
      <c r="U31">
        <v>2.9019180000000002</v>
      </c>
      <c r="V31">
        <v>4.9214989999999998</v>
      </c>
      <c r="W31">
        <v>4.5843939999999996</v>
      </c>
      <c r="X31">
        <v>0.77169100000000002</v>
      </c>
      <c r="Y31">
        <v>2.5890719999999998</v>
      </c>
      <c r="Z31">
        <v>1.496888</v>
      </c>
      <c r="AA31">
        <v>5.6193739999999996</v>
      </c>
      <c r="AB31">
        <v>4.0473650000000001</v>
      </c>
      <c r="AC31">
        <v>4.0005240000000004</v>
      </c>
      <c r="AD31">
        <v>6.5566149999999999</v>
      </c>
      <c r="AE31">
        <v>0</v>
      </c>
      <c r="AF31">
        <v>1.037706</v>
      </c>
      <c r="AG31">
        <v>0.30452899999999999</v>
      </c>
      <c r="AH31">
        <v>1.968731</v>
      </c>
      <c r="AI31">
        <v>2.3157589999999999</v>
      </c>
      <c r="AJ31">
        <v>5.9019570000000003</v>
      </c>
      <c r="AK31">
        <v>6.3773309999999999</v>
      </c>
      <c r="AL31">
        <v>6.410253</v>
      </c>
      <c r="AM31">
        <v>6.6226380000000002</v>
      </c>
      <c r="AN31">
        <v>6.8891790000000004</v>
      </c>
      <c r="AO31">
        <v>7.1610079999999998</v>
      </c>
      <c r="AP31">
        <v>7.3858629999999996</v>
      </c>
      <c r="AQ31">
        <v>7.5062920000000002</v>
      </c>
      <c r="AR31">
        <v>7.7374239999999999</v>
      </c>
      <c r="AS31">
        <v>8.0691799999999994</v>
      </c>
    </row>
    <row r="32" spans="1:45" x14ac:dyDescent="0.55000000000000004">
      <c r="A32" s="3">
        <v>103</v>
      </c>
      <c r="B32">
        <v>7.3365070000000001</v>
      </c>
      <c r="C32">
        <v>6.8931769999999997</v>
      </c>
      <c r="D32">
        <v>6.3132789999999996</v>
      </c>
      <c r="E32">
        <v>5.4592679999999998</v>
      </c>
      <c r="F32">
        <v>6.1083569999999998</v>
      </c>
      <c r="G32">
        <v>5.50589</v>
      </c>
      <c r="H32">
        <v>5.3704590000000003</v>
      </c>
      <c r="I32">
        <v>5.4627829999999999</v>
      </c>
      <c r="J32">
        <v>5.0368899999999996</v>
      </c>
      <c r="K32">
        <v>4.9259589999999998</v>
      </c>
      <c r="L32">
        <v>4.7568789999999996</v>
      </c>
      <c r="M32">
        <v>3.6674959999999999</v>
      </c>
      <c r="N32">
        <v>4.1853360000000004</v>
      </c>
      <c r="O32">
        <v>5.9326699999999999</v>
      </c>
      <c r="P32">
        <v>2.9153539999999998</v>
      </c>
      <c r="Q32">
        <v>3.9385059999999998</v>
      </c>
      <c r="R32">
        <v>2.761288</v>
      </c>
      <c r="S32">
        <v>2.0340410000000002</v>
      </c>
      <c r="T32">
        <v>3.6424099999999999</v>
      </c>
      <c r="U32">
        <v>2.140158</v>
      </c>
      <c r="V32">
        <v>3.9655260000000001</v>
      </c>
      <c r="W32">
        <v>3.802575</v>
      </c>
      <c r="X32">
        <v>1.23075</v>
      </c>
      <c r="Y32">
        <v>2.447708</v>
      </c>
      <c r="Z32">
        <v>1.071885</v>
      </c>
      <c r="AA32">
        <v>5.0289979999999996</v>
      </c>
      <c r="AB32">
        <v>4.465471</v>
      </c>
      <c r="AC32">
        <v>4.7328029999999996</v>
      </c>
      <c r="AD32">
        <v>5.5773489999999999</v>
      </c>
      <c r="AE32">
        <v>1.037706</v>
      </c>
      <c r="AF32">
        <v>0</v>
      </c>
      <c r="AG32">
        <v>1.2791410000000001</v>
      </c>
      <c r="AH32">
        <v>1.030713</v>
      </c>
      <c r="AI32">
        <v>1.278356</v>
      </c>
      <c r="AJ32">
        <v>5.0044880000000003</v>
      </c>
      <c r="AK32">
        <v>5.7661369999999996</v>
      </c>
      <c r="AL32">
        <v>5.8510679999999997</v>
      </c>
      <c r="AM32">
        <v>6.2944969999999998</v>
      </c>
      <c r="AN32">
        <v>6.645543</v>
      </c>
      <c r="AO32">
        <v>7.2399839999999998</v>
      </c>
      <c r="AP32">
        <v>8.0806660000000008</v>
      </c>
      <c r="AQ32">
        <v>8.2497640000000008</v>
      </c>
      <c r="AR32">
        <v>8.3459179999999993</v>
      </c>
      <c r="AS32">
        <v>8.5643469999999997</v>
      </c>
    </row>
    <row r="33" spans="1:45" x14ac:dyDescent="0.55000000000000004">
      <c r="A33" s="3">
        <v>104</v>
      </c>
      <c r="B33">
        <v>6.3601809999999999</v>
      </c>
      <c r="C33">
        <v>6.0861919999999996</v>
      </c>
      <c r="D33">
        <v>5.4317060000000001</v>
      </c>
      <c r="E33">
        <v>4.8729100000000001</v>
      </c>
      <c r="F33">
        <v>5.0962709999999998</v>
      </c>
      <c r="G33">
        <v>4.6595959999999996</v>
      </c>
      <c r="H33">
        <v>4.3507230000000003</v>
      </c>
      <c r="I33">
        <v>5.6282389999999998</v>
      </c>
      <c r="J33">
        <v>4.0630519999999999</v>
      </c>
      <c r="K33">
        <v>4.1388429999999996</v>
      </c>
      <c r="L33">
        <v>3.848484</v>
      </c>
      <c r="M33">
        <v>2.8971330000000002</v>
      </c>
      <c r="N33">
        <v>3.6377839999999999</v>
      </c>
      <c r="O33">
        <v>5.6845290000000004</v>
      </c>
      <c r="P33">
        <v>4.1325260000000004</v>
      </c>
      <c r="Q33">
        <v>3.8576169999999999</v>
      </c>
      <c r="R33">
        <v>2.345475</v>
      </c>
      <c r="S33">
        <v>1.491541</v>
      </c>
      <c r="T33">
        <v>4.1092370000000003</v>
      </c>
      <c r="U33">
        <v>2.9818099999999998</v>
      </c>
      <c r="V33">
        <v>5.0678159999999997</v>
      </c>
      <c r="W33">
        <v>4.651821</v>
      </c>
      <c r="X33">
        <v>0.63790999999999998</v>
      </c>
      <c r="Y33">
        <v>2.4861080000000002</v>
      </c>
      <c r="Z33">
        <v>1.5371939999999999</v>
      </c>
      <c r="AA33">
        <v>5.6102959999999999</v>
      </c>
      <c r="AB33">
        <v>3.787836</v>
      </c>
      <c r="AC33">
        <v>3.6990069999999999</v>
      </c>
      <c r="AD33">
        <v>6.7132899999999998</v>
      </c>
      <c r="AE33">
        <v>0.30452899999999999</v>
      </c>
      <c r="AF33">
        <v>1.2791410000000001</v>
      </c>
      <c r="AG33">
        <v>0</v>
      </c>
      <c r="AH33">
        <v>2.1364350000000001</v>
      </c>
      <c r="AI33">
        <v>2.5521989999999999</v>
      </c>
      <c r="AJ33">
        <v>6.0133580000000002</v>
      </c>
      <c r="AK33">
        <v>6.3715169999999999</v>
      </c>
      <c r="AL33">
        <v>6.3866339999999999</v>
      </c>
      <c r="AM33">
        <v>6.5264810000000004</v>
      </c>
      <c r="AN33">
        <v>6.7680899999999999</v>
      </c>
      <c r="AO33">
        <v>6.9583089999999999</v>
      </c>
      <c r="AP33">
        <v>7.0848040000000001</v>
      </c>
      <c r="AQ33">
        <v>7.2027510000000001</v>
      </c>
      <c r="AR33">
        <v>7.4433220000000002</v>
      </c>
      <c r="AS33">
        <v>7.7882379999999998</v>
      </c>
    </row>
    <row r="34" spans="1:45" x14ac:dyDescent="0.55000000000000004">
      <c r="A34" s="3">
        <v>105</v>
      </c>
      <c r="B34">
        <v>7.5516199999999998</v>
      </c>
      <c r="C34">
        <v>6.9414769999999999</v>
      </c>
      <c r="D34">
        <v>6.4494030000000002</v>
      </c>
      <c r="E34">
        <v>5.3494359999999999</v>
      </c>
      <c r="F34">
        <v>6.3886630000000002</v>
      </c>
      <c r="G34">
        <v>5.630941</v>
      </c>
      <c r="H34">
        <v>5.679068</v>
      </c>
      <c r="I34">
        <v>4.7785250000000001</v>
      </c>
      <c r="J34">
        <v>5.3069319999999998</v>
      </c>
      <c r="K34">
        <v>5.0175960000000002</v>
      </c>
      <c r="L34">
        <v>4.9715689999999997</v>
      </c>
      <c r="M34">
        <v>3.8190849999999998</v>
      </c>
      <c r="N34">
        <v>4.1078549999999998</v>
      </c>
      <c r="O34">
        <v>5.5304070000000003</v>
      </c>
      <c r="P34">
        <v>2.0127860000000002</v>
      </c>
      <c r="Q34">
        <v>3.5037989999999999</v>
      </c>
      <c r="R34">
        <v>2.7249530000000002</v>
      </c>
      <c r="S34">
        <v>2.2485780000000002</v>
      </c>
      <c r="T34">
        <v>2.831054</v>
      </c>
      <c r="U34">
        <v>1.182137</v>
      </c>
      <c r="V34">
        <v>2.956188</v>
      </c>
      <c r="W34">
        <v>2.7945449999999998</v>
      </c>
      <c r="X34">
        <v>1.8062290000000001</v>
      </c>
      <c r="Y34">
        <v>2.0998739999999998</v>
      </c>
      <c r="Z34">
        <v>0.953542</v>
      </c>
      <c r="AA34">
        <v>4.1118550000000003</v>
      </c>
      <c r="AB34">
        <v>4.4819259999999996</v>
      </c>
      <c r="AC34">
        <v>5.0783680000000002</v>
      </c>
      <c r="AD34">
        <v>4.587885</v>
      </c>
      <c r="AE34">
        <v>1.968731</v>
      </c>
      <c r="AF34">
        <v>1.030713</v>
      </c>
      <c r="AG34">
        <v>2.1364350000000001</v>
      </c>
      <c r="AH34">
        <v>0</v>
      </c>
      <c r="AI34">
        <v>0.77990700000000002</v>
      </c>
      <c r="AJ34">
        <v>3.9752459999999998</v>
      </c>
      <c r="AK34">
        <v>4.8280370000000001</v>
      </c>
      <c r="AL34">
        <v>4.9440309999999998</v>
      </c>
      <c r="AM34">
        <v>5.5482290000000001</v>
      </c>
      <c r="AN34">
        <v>5.9616179999999996</v>
      </c>
      <c r="AO34">
        <v>6.8298319999999997</v>
      </c>
      <c r="AP34">
        <v>8.3063769999999995</v>
      </c>
      <c r="AQ34">
        <v>8.5343549999999997</v>
      </c>
      <c r="AR34">
        <v>8.4648240000000001</v>
      </c>
      <c r="AS34">
        <v>8.5522519999999993</v>
      </c>
    </row>
    <row r="35" spans="1:45" x14ac:dyDescent="0.55000000000000004">
      <c r="A35" s="3">
        <v>106</v>
      </c>
      <c r="B35">
        <v>8.2998560000000001</v>
      </c>
      <c r="C35">
        <v>7.7141349999999997</v>
      </c>
      <c r="D35">
        <v>7.2101889999999997</v>
      </c>
      <c r="E35">
        <v>6.1292989999999996</v>
      </c>
      <c r="F35">
        <v>7.1196780000000004</v>
      </c>
      <c r="G35">
        <v>6.3918679999999997</v>
      </c>
      <c r="H35">
        <v>6.400601</v>
      </c>
      <c r="I35">
        <v>5.4300940000000004</v>
      </c>
      <c r="J35">
        <v>6.0374140000000001</v>
      </c>
      <c r="K35">
        <v>5.7819929999999999</v>
      </c>
      <c r="L35">
        <v>5.713838</v>
      </c>
      <c r="M35">
        <v>4.5689029999999997</v>
      </c>
      <c r="N35">
        <v>4.8860510000000001</v>
      </c>
      <c r="O35">
        <v>6.2809410000000003</v>
      </c>
      <c r="P35">
        <v>1.703846</v>
      </c>
      <c r="Q35">
        <v>4.258273</v>
      </c>
      <c r="R35">
        <v>3.495384</v>
      </c>
      <c r="S35">
        <v>2.9665539999999999</v>
      </c>
      <c r="T35">
        <v>3.4304670000000002</v>
      </c>
      <c r="U35">
        <v>1.717697</v>
      </c>
      <c r="V35">
        <v>2.8926949999999998</v>
      </c>
      <c r="W35">
        <v>3.0941179999999999</v>
      </c>
      <c r="X35">
        <v>2.3812669999999998</v>
      </c>
      <c r="Y35">
        <v>2.8770720000000001</v>
      </c>
      <c r="Z35">
        <v>1.689338</v>
      </c>
      <c r="AA35">
        <v>4.5686640000000001</v>
      </c>
      <c r="AB35">
        <v>5.2539699999999998</v>
      </c>
      <c r="AC35">
        <v>5.7869630000000001</v>
      </c>
      <c r="AD35">
        <v>4.4275089999999997</v>
      </c>
      <c r="AE35">
        <v>2.3157589999999999</v>
      </c>
      <c r="AF35">
        <v>1.278356</v>
      </c>
      <c r="AG35">
        <v>2.5521989999999999</v>
      </c>
      <c r="AH35">
        <v>0.77990700000000002</v>
      </c>
      <c r="AI35">
        <v>0</v>
      </c>
      <c r="AJ35">
        <v>4.0223969999999998</v>
      </c>
      <c r="AK35">
        <v>5.241784</v>
      </c>
      <c r="AL35">
        <v>5.4019259999999996</v>
      </c>
      <c r="AM35">
        <v>6.1538180000000002</v>
      </c>
      <c r="AN35">
        <v>6.6036539999999997</v>
      </c>
      <c r="AO35">
        <v>7.5744899999999999</v>
      </c>
      <c r="AP35">
        <v>9.0534420000000004</v>
      </c>
      <c r="AQ35">
        <v>9.2680950000000006</v>
      </c>
      <c r="AR35">
        <v>9.2306260000000009</v>
      </c>
      <c r="AS35">
        <v>9.330349</v>
      </c>
    </row>
    <row r="36" spans="1:45" x14ac:dyDescent="0.55000000000000004">
      <c r="A36" s="3">
        <v>107</v>
      </c>
      <c r="B36">
        <v>9.628539</v>
      </c>
      <c r="C36">
        <v>8.5983429999999998</v>
      </c>
      <c r="D36">
        <v>8.4367680000000007</v>
      </c>
      <c r="E36">
        <v>6.8181159999999998</v>
      </c>
      <c r="F36">
        <v>8.7777049999999992</v>
      </c>
      <c r="G36">
        <v>7.7190180000000002</v>
      </c>
      <c r="H36">
        <v>8.2323979999999999</v>
      </c>
      <c r="I36">
        <v>4.1908329999999996</v>
      </c>
      <c r="J36">
        <v>7.8214810000000003</v>
      </c>
      <c r="K36">
        <v>7.1360380000000001</v>
      </c>
      <c r="L36">
        <v>7.4096820000000001</v>
      </c>
      <c r="M36">
        <v>6.3713449999999998</v>
      </c>
      <c r="N36">
        <v>6.0205970000000004</v>
      </c>
      <c r="O36">
        <v>5.9354110000000002</v>
      </c>
      <c r="P36">
        <v>2.5030920000000001</v>
      </c>
      <c r="Q36">
        <v>4.615812</v>
      </c>
      <c r="R36">
        <v>5.2757100000000001</v>
      </c>
      <c r="S36">
        <v>5.4271710000000004</v>
      </c>
      <c r="T36">
        <v>2.9369339999999999</v>
      </c>
      <c r="U36">
        <v>3.051892</v>
      </c>
      <c r="V36">
        <v>1.1852499999999999</v>
      </c>
      <c r="W36">
        <v>1.5568839999999999</v>
      </c>
      <c r="X36">
        <v>5.5179679999999998</v>
      </c>
      <c r="Y36">
        <v>4.3823910000000001</v>
      </c>
      <c r="Z36">
        <v>4.5046119999999998</v>
      </c>
      <c r="AA36">
        <v>2.347728</v>
      </c>
      <c r="AB36">
        <v>6.531739</v>
      </c>
      <c r="AC36">
        <v>7.8054030000000001</v>
      </c>
      <c r="AD36">
        <v>1.242664</v>
      </c>
      <c r="AE36">
        <v>5.9019570000000003</v>
      </c>
      <c r="AF36">
        <v>5.0044880000000003</v>
      </c>
      <c r="AG36">
        <v>6.0133580000000002</v>
      </c>
      <c r="AH36">
        <v>3.9752459999999998</v>
      </c>
      <c r="AI36">
        <v>4.0223969999999998</v>
      </c>
      <c r="AJ36">
        <v>0</v>
      </c>
      <c r="AK36">
        <v>2.445697</v>
      </c>
      <c r="AL36">
        <v>2.8027510000000002</v>
      </c>
      <c r="AM36">
        <v>4.3115079999999999</v>
      </c>
      <c r="AN36">
        <v>4.9474739999999997</v>
      </c>
      <c r="AO36">
        <v>6.8839329999999999</v>
      </c>
      <c r="AP36">
        <v>10.340638</v>
      </c>
      <c r="AQ36">
        <v>10.721565999999999</v>
      </c>
      <c r="AR36">
        <v>10.159280000000001</v>
      </c>
      <c r="AS36">
        <v>9.8135429999999992</v>
      </c>
    </row>
    <row r="37" spans="1:45" x14ac:dyDescent="0.55000000000000004">
      <c r="A37" s="3">
        <v>108</v>
      </c>
      <c r="B37">
        <v>8.1503969999999999</v>
      </c>
      <c r="C37">
        <v>6.9731139999999998</v>
      </c>
      <c r="D37">
        <v>7.0042669999999996</v>
      </c>
      <c r="E37">
        <v>5.2952089999999998</v>
      </c>
      <c r="F37">
        <v>7.5511600000000003</v>
      </c>
      <c r="G37">
        <v>6.4212619999999996</v>
      </c>
      <c r="H37">
        <v>7.1637360000000001</v>
      </c>
      <c r="I37">
        <v>2.159824</v>
      </c>
      <c r="J37">
        <v>6.7739219999999998</v>
      </c>
      <c r="K37">
        <v>5.9342670000000002</v>
      </c>
      <c r="L37">
        <v>6.3658950000000001</v>
      </c>
      <c r="M37">
        <v>5.5726719999999998</v>
      </c>
      <c r="N37">
        <v>4.9006369999999997</v>
      </c>
      <c r="O37">
        <v>4.0140570000000002</v>
      </c>
      <c r="P37">
        <v>4.2779410000000002</v>
      </c>
      <c r="Q37">
        <v>3.451552</v>
      </c>
      <c r="R37">
        <v>4.7517129999999996</v>
      </c>
      <c r="S37">
        <v>5.268999</v>
      </c>
      <c r="T37">
        <v>2.2832300000000001</v>
      </c>
      <c r="U37">
        <v>3.647545</v>
      </c>
      <c r="V37">
        <v>3.2140840000000002</v>
      </c>
      <c r="W37">
        <v>2.1926190000000001</v>
      </c>
      <c r="X37">
        <v>5.7563139999999997</v>
      </c>
      <c r="Y37">
        <v>4.0550100000000002</v>
      </c>
      <c r="Z37">
        <v>4.8859959999999996</v>
      </c>
      <c r="AA37">
        <v>0.76253700000000002</v>
      </c>
      <c r="AB37">
        <v>5.3889889999999996</v>
      </c>
      <c r="AC37">
        <v>6.901046</v>
      </c>
      <c r="AD37">
        <v>3.6007060000000002</v>
      </c>
      <c r="AE37">
        <v>6.3773309999999999</v>
      </c>
      <c r="AF37">
        <v>5.7661369999999996</v>
      </c>
      <c r="AG37">
        <v>6.3715169999999999</v>
      </c>
      <c r="AH37">
        <v>4.8280370000000001</v>
      </c>
      <c r="AI37">
        <v>5.241784</v>
      </c>
      <c r="AJ37">
        <v>2.445697</v>
      </c>
      <c r="AK37">
        <v>0</v>
      </c>
      <c r="AL37">
        <v>0.37461699999999998</v>
      </c>
      <c r="AM37">
        <v>1.95892</v>
      </c>
      <c r="AN37">
        <v>2.5957810000000001</v>
      </c>
      <c r="AO37">
        <v>4.7086110000000003</v>
      </c>
      <c r="AP37">
        <v>8.7944359999999993</v>
      </c>
      <c r="AQ37">
        <v>9.2396239999999992</v>
      </c>
      <c r="AR37">
        <v>8.4468289999999993</v>
      </c>
      <c r="AS37">
        <v>7.9189749999999997</v>
      </c>
    </row>
    <row r="38" spans="1:45" x14ac:dyDescent="0.55000000000000004">
      <c r="A38" s="3">
        <v>109</v>
      </c>
      <c r="B38">
        <v>7.8692799999999998</v>
      </c>
      <c r="C38">
        <v>6.6760599999999997</v>
      </c>
      <c r="D38">
        <v>6.7351460000000003</v>
      </c>
      <c r="E38">
        <v>5.0246139999999997</v>
      </c>
      <c r="F38">
        <v>7.3095920000000003</v>
      </c>
      <c r="G38">
        <v>6.1764239999999999</v>
      </c>
      <c r="H38">
        <v>6.948601</v>
      </c>
      <c r="I38">
        <v>1.8457159999999999</v>
      </c>
      <c r="J38">
        <v>6.5650550000000001</v>
      </c>
      <c r="K38">
        <v>5.708736</v>
      </c>
      <c r="L38">
        <v>6.1612159999999996</v>
      </c>
      <c r="M38">
        <v>5.4165270000000003</v>
      </c>
      <c r="N38">
        <v>4.7013660000000002</v>
      </c>
      <c r="O38">
        <v>3.6912769999999999</v>
      </c>
      <c r="P38">
        <v>4.5303579999999997</v>
      </c>
      <c r="Q38">
        <v>3.2770380000000001</v>
      </c>
      <c r="R38">
        <v>4.6553240000000002</v>
      </c>
      <c r="S38">
        <v>5.2214590000000003</v>
      </c>
      <c r="T38">
        <v>2.277412</v>
      </c>
      <c r="U38">
        <v>3.7624629999999999</v>
      </c>
      <c r="V38">
        <v>3.5189780000000002</v>
      </c>
      <c r="W38">
        <v>2.4139629999999999</v>
      </c>
      <c r="X38">
        <v>5.7621880000000001</v>
      </c>
      <c r="Y38">
        <v>4.0098710000000004</v>
      </c>
      <c r="Z38">
        <v>4.9307800000000004</v>
      </c>
      <c r="AA38">
        <v>0.83462000000000003</v>
      </c>
      <c r="AB38">
        <v>5.1790669999999999</v>
      </c>
      <c r="AC38">
        <v>6.7133820000000002</v>
      </c>
      <c r="AD38">
        <v>3.9701270000000002</v>
      </c>
      <c r="AE38">
        <v>6.410253</v>
      </c>
      <c r="AF38">
        <v>5.8510679999999997</v>
      </c>
      <c r="AG38">
        <v>6.3866339999999999</v>
      </c>
      <c r="AH38">
        <v>4.9440309999999998</v>
      </c>
      <c r="AI38">
        <v>5.4019259999999996</v>
      </c>
      <c r="AJ38">
        <v>2.8027510000000002</v>
      </c>
      <c r="AK38">
        <v>0.37461699999999998</v>
      </c>
      <c r="AL38">
        <v>0</v>
      </c>
      <c r="AM38">
        <v>1.5859639999999999</v>
      </c>
      <c r="AN38">
        <v>2.2218789999999999</v>
      </c>
      <c r="AO38">
        <v>4.3468790000000004</v>
      </c>
      <c r="AP38">
        <v>8.5016250000000007</v>
      </c>
      <c r="AQ38">
        <v>8.9542669999999998</v>
      </c>
      <c r="AR38">
        <v>8.1327119999999997</v>
      </c>
      <c r="AS38">
        <v>7.5829560000000003</v>
      </c>
    </row>
    <row r="39" spans="1:45" x14ac:dyDescent="0.55000000000000004">
      <c r="A39" s="3">
        <v>110</v>
      </c>
      <c r="B39">
        <v>6.6570169999999997</v>
      </c>
      <c r="C39">
        <v>5.4061789999999998</v>
      </c>
      <c r="D39">
        <v>5.5961080000000001</v>
      </c>
      <c r="E39">
        <v>3.925964</v>
      </c>
      <c r="F39">
        <v>6.2880219999999998</v>
      </c>
      <c r="G39">
        <v>5.1660469999999998</v>
      </c>
      <c r="H39">
        <v>6.057372</v>
      </c>
      <c r="I39">
        <v>0.92476800000000003</v>
      </c>
      <c r="J39">
        <v>5.7132110000000003</v>
      </c>
      <c r="K39">
        <v>4.8062129999999996</v>
      </c>
      <c r="L39">
        <v>5.3415990000000004</v>
      </c>
      <c r="M39">
        <v>4.8544159999999996</v>
      </c>
      <c r="N39">
        <v>3.9756819999999999</v>
      </c>
      <c r="O39">
        <v>2.3690560000000001</v>
      </c>
      <c r="P39">
        <v>5.6492060000000004</v>
      </c>
      <c r="Q39">
        <v>2.8134890000000001</v>
      </c>
      <c r="R39">
        <v>4.4107609999999999</v>
      </c>
      <c r="S39">
        <v>5.1523000000000003</v>
      </c>
      <c r="T39">
        <v>2.7253729999999998</v>
      </c>
      <c r="U39">
        <v>4.4362050000000002</v>
      </c>
      <c r="V39">
        <v>4.8461540000000003</v>
      </c>
      <c r="W39">
        <v>3.5513919999999999</v>
      </c>
      <c r="X39">
        <v>5.8894520000000004</v>
      </c>
      <c r="Y39">
        <v>4.0406329999999997</v>
      </c>
      <c r="Z39">
        <v>5.2588290000000004</v>
      </c>
      <c r="AA39">
        <v>2.0087069999999998</v>
      </c>
      <c r="AB39">
        <v>4.3747259999999999</v>
      </c>
      <c r="AC39">
        <v>5.9553209999999996</v>
      </c>
      <c r="AD39">
        <v>5.5168549999999996</v>
      </c>
      <c r="AE39">
        <v>6.6226380000000002</v>
      </c>
      <c r="AF39">
        <v>6.2944969999999998</v>
      </c>
      <c r="AG39">
        <v>6.5264810000000004</v>
      </c>
      <c r="AH39">
        <v>5.5482290000000001</v>
      </c>
      <c r="AI39">
        <v>6.1538180000000002</v>
      </c>
      <c r="AJ39">
        <v>4.3115079999999999</v>
      </c>
      <c r="AK39">
        <v>1.95892</v>
      </c>
      <c r="AL39">
        <v>1.5859639999999999</v>
      </c>
      <c r="AM39">
        <v>0</v>
      </c>
      <c r="AN39">
        <v>0.63988</v>
      </c>
      <c r="AO39">
        <v>2.796389</v>
      </c>
      <c r="AP39">
        <v>7.2299709999999999</v>
      </c>
      <c r="AQ39">
        <v>7.7118190000000002</v>
      </c>
      <c r="AR39">
        <v>6.7692410000000001</v>
      </c>
      <c r="AS39">
        <v>6.1269900000000002</v>
      </c>
    </row>
    <row r="40" spans="1:45" x14ac:dyDescent="0.55000000000000004">
      <c r="A40" s="3">
        <v>111</v>
      </c>
      <c r="B40">
        <v>6.282654</v>
      </c>
      <c r="C40">
        <v>5.0109430000000001</v>
      </c>
      <c r="D40">
        <v>5.2754440000000002</v>
      </c>
      <c r="E40">
        <v>3.6647379999999998</v>
      </c>
      <c r="F40">
        <v>6.0223149999999999</v>
      </c>
      <c r="G40">
        <v>4.9242739999999996</v>
      </c>
      <c r="H40">
        <v>5.8625800000000003</v>
      </c>
      <c r="I40">
        <v>1.1856709999999999</v>
      </c>
      <c r="J40">
        <v>5.5441279999999997</v>
      </c>
      <c r="K40">
        <v>4.6302159999999999</v>
      </c>
      <c r="L40">
        <v>5.195983</v>
      </c>
      <c r="M40">
        <v>4.8446160000000003</v>
      </c>
      <c r="N40">
        <v>3.916817</v>
      </c>
      <c r="O40">
        <v>2.0235629999999998</v>
      </c>
      <c r="P40">
        <v>6.2035530000000003</v>
      </c>
      <c r="Q40">
        <v>2.9453839999999998</v>
      </c>
      <c r="R40">
        <v>4.5525529999999996</v>
      </c>
      <c r="S40">
        <v>5.3419749999999997</v>
      </c>
      <c r="T40">
        <v>3.1815899999999999</v>
      </c>
      <c r="U40">
        <v>4.890555</v>
      </c>
      <c r="V40">
        <v>5.4515560000000001</v>
      </c>
      <c r="W40">
        <v>4.1326650000000003</v>
      </c>
      <c r="X40">
        <v>6.1369819999999997</v>
      </c>
      <c r="Y40">
        <v>4.3017859999999999</v>
      </c>
      <c r="Z40">
        <v>5.5889610000000003</v>
      </c>
      <c r="AA40">
        <v>2.630414</v>
      </c>
      <c r="AB40">
        <v>4.2618739999999997</v>
      </c>
      <c r="AC40">
        <v>5.828328</v>
      </c>
      <c r="AD40">
        <v>6.1558169999999999</v>
      </c>
      <c r="AE40">
        <v>6.8891790000000004</v>
      </c>
      <c r="AF40">
        <v>6.645543</v>
      </c>
      <c r="AG40">
        <v>6.7680899999999999</v>
      </c>
      <c r="AH40">
        <v>5.9616179999999996</v>
      </c>
      <c r="AI40">
        <v>6.6036539999999997</v>
      </c>
      <c r="AJ40">
        <v>4.9474739999999997</v>
      </c>
      <c r="AK40">
        <v>2.5957810000000001</v>
      </c>
      <c r="AL40">
        <v>2.2218789999999999</v>
      </c>
      <c r="AM40">
        <v>0.63988</v>
      </c>
      <c r="AN40">
        <v>0</v>
      </c>
      <c r="AO40">
        <v>2.2200799999999998</v>
      </c>
      <c r="AP40">
        <v>6.8171730000000004</v>
      </c>
      <c r="AQ40">
        <v>7.3125619999999998</v>
      </c>
      <c r="AR40">
        <v>6.3046439999999997</v>
      </c>
      <c r="AS40">
        <v>5.6059099999999997</v>
      </c>
    </row>
    <row r="41" spans="1:45" x14ac:dyDescent="0.55000000000000004">
      <c r="A41" s="3">
        <v>112</v>
      </c>
      <c r="B41">
        <v>4.4306960000000002</v>
      </c>
      <c r="C41">
        <v>3.1563720000000002</v>
      </c>
      <c r="D41">
        <v>3.6445630000000002</v>
      </c>
      <c r="E41">
        <v>2.4752169999999998</v>
      </c>
      <c r="F41">
        <v>4.5205729999999997</v>
      </c>
      <c r="G41">
        <v>3.598071</v>
      </c>
      <c r="H41">
        <v>4.6093900000000003</v>
      </c>
      <c r="I41">
        <v>2.6942249999999999</v>
      </c>
      <c r="J41">
        <v>4.4068930000000002</v>
      </c>
      <c r="K41">
        <v>3.5763850000000001</v>
      </c>
      <c r="L41">
        <v>4.1768070000000002</v>
      </c>
      <c r="M41">
        <v>4.3463690000000001</v>
      </c>
      <c r="N41">
        <v>3.411041</v>
      </c>
      <c r="O41">
        <v>1.3080830000000001</v>
      </c>
      <c r="P41">
        <v>7.6272260000000003</v>
      </c>
      <c r="Q41">
        <v>3.3305449999999999</v>
      </c>
      <c r="R41">
        <v>4.6175860000000002</v>
      </c>
      <c r="S41">
        <v>5.4702549999999999</v>
      </c>
      <c r="T41">
        <v>4.4729650000000003</v>
      </c>
      <c r="U41">
        <v>5.9871499999999997</v>
      </c>
      <c r="V41">
        <v>7.1542649999999997</v>
      </c>
      <c r="W41">
        <v>5.7726160000000002</v>
      </c>
      <c r="X41">
        <v>6.3938670000000002</v>
      </c>
      <c r="Y41">
        <v>4.8029440000000001</v>
      </c>
      <c r="Z41">
        <v>6.1830850000000002</v>
      </c>
      <c r="AA41">
        <v>4.5446109999999997</v>
      </c>
      <c r="AB41">
        <v>3.4949479999999999</v>
      </c>
      <c r="AC41">
        <v>4.8101399999999996</v>
      </c>
      <c r="AD41">
        <v>8.1234800000000007</v>
      </c>
      <c r="AE41">
        <v>7.1610079999999998</v>
      </c>
      <c r="AF41">
        <v>7.2399839999999998</v>
      </c>
      <c r="AG41">
        <v>6.9583089999999999</v>
      </c>
      <c r="AH41">
        <v>6.8298319999999997</v>
      </c>
      <c r="AI41">
        <v>7.5744899999999999</v>
      </c>
      <c r="AJ41">
        <v>6.8839329999999999</v>
      </c>
      <c r="AK41">
        <v>4.7086110000000003</v>
      </c>
      <c r="AL41">
        <v>4.3468790000000004</v>
      </c>
      <c r="AM41">
        <v>2.796389</v>
      </c>
      <c r="AN41">
        <v>2.2200799999999998</v>
      </c>
      <c r="AO41">
        <v>0</v>
      </c>
      <c r="AP41">
        <v>4.8456429999999999</v>
      </c>
      <c r="AQ41">
        <v>5.3650789999999997</v>
      </c>
      <c r="AR41">
        <v>4.2195200000000002</v>
      </c>
      <c r="AS41">
        <v>3.4231560000000001</v>
      </c>
    </row>
    <row r="42" spans="1:45" x14ac:dyDescent="0.55000000000000004">
      <c r="A42" s="3">
        <v>113</v>
      </c>
      <c r="B42">
        <v>0.75550499999999998</v>
      </c>
      <c r="C42">
        <v>1.829099</v>
      </c>
      <c r="D42">
        <v>1.9255469999999999</v>
      </c>
      <c r="E42">
        <v>3.540206</v>
      </c>
      <c r="F42">
        <v>1.9885679999999999</v>
      </c>
      <c r="G42">
        <v>2.716313</v>
      </c>
      <c r="H42">
        <v>2.7340870000000002</v>
      </c>
      <c r="I42">
        <v>6.6598300000000004</v>
      </c>
      <c r="J42">
        <v>3.0442650000000002</v>
      </c>
      <c r="K42">
        <v>3.3394370000000002</v>
      </c>
      <c r="L42">
        <v>3.3406570000000002</v>
      </c>
      <c r="M42">
        <v>4.4872959999999997</v>
      </c>
      <c r="N42">
        <v>4.4111919999999998</v>
      </c>
      <c r="O42">
        <v>4.8647539999999996</v>
      </c>
      <c r="P42">
        <v>9.9600139999999993</v>
      </c>
      <c r="Q42">
        <v>5.7287939999999997</v>
      </c>
      <c r="R42">
        <v>5.6142539999999999</v>
      </c>
      <c r="S42">
        <v>6.0969829999999998</v>
      </c>
      <c r="T42">
        <v>7.4129430000000003</v>
      </c>
      <c r="U42">
        <v>8.1147320000000001</v>
      </c>
      <c r="V42">
        <v>10.103133</v>
      </c>
      <c r="W42">
        <v>8.8588380000000004</v>
      </c>
      <c r="X42">
        <v>6.859432</v>
      </c>
      <c r="Y42">
        <v>6.4266940000000004</v>
      </c>
      <c r="Z42">
        <v>7.3649290000000001</v>
      </c>
      <c r="AA42">
        <v>8.3210270000000008</v>
      </c>
      <c r="AB42">
        <v>3.9329040000000002</v>
      </c>
      <c r="AC42">
        <v>3.386037</v>
      </c>
      <c r="AD42">
        <v>11.523908</v>
      </c>
      <c r="AE42">
        <v>7.3858629999999996</v>
      </c>
      <c r="AF42">
        <v>8.0806660000000008</v>
      </c>
      <c r="AG42">
        <v>7.0848040000000001</v>
      </c>
      <c r="AH42">
        <v>8.3063769999999995</v>
      </c>
      <c r="AI42">
        <v>9.0534420000000004</v>
      </c>
      <c r="AJ42">
        <v>10.340638</v>
      </c>
      <c r="AK42">
        <v>8.7944359999999993</v>
      </c>
      <c r="AL42">
        <v>8.5016250000000007</v>
      </c>
      <c r="AM42">
        <v>7.2299709999999999</v>
      </c>
      <c r="AN42">
        <v>6.8171730000000004</v>
      </c>
      <c r="AO42">
        <v>4.8456429999999999</v>
      </c>
      <c r="AP42">
        <v>0</v>
      </c>
      <c r="AQ42">
        <v>0.527783</v>
      </c>
      <c r="AR42">
        <v>0.89765399999999995</v>
      </c>
      <c r="AS42">
        <v>1.9766680000000001</v>
      </c>
    </row>
    <row r="43" spans="1:45" x14ac:dyDescent="0.55000000000000004">
      <c r="A43" s="3">
        <v>114</v>
      </c>
      <c r="B43">
        <v>1.0971919999999999</v>
      </c>
      <c r="C43">
        <v>2.3060299999999998</v>
      </c>
      <c r="D43">
        <v>2.285091</v>
      </c>
      <c r="E43">
        <v>3.95825</v>
      </c>
      <c r="F43">
        <v>2.1488179999999999</v>
      </c>
      <c r="G43">
        <v>3.0302039999999999</v>
      </c>
      <c r="H43">
        <v>2.8796300000000001</v>
      </c>
      <c r="I43">
        <v>7.1177049999999999</v>
      </c>
      <c r="J43">
        <v>3.2307760000000001</v>
      </c>
      <c r="K43">
        <v>3.6445660000000002</v>
      </c>
      <c r="L43">
        <v>3.5667439999999999</v>
      </c>
      <c r="M43">
        <v>4.7258849999999999</v>
      </c>
      <c r="N43">
        <v>4.742991</v>
      </c>
      <c r="O43">
        <v>5.3433070000000003</v>
      </c>
      <c r="P43">
        <v>10.243327000000001</v>
      </c>
      <c r="Q43">
        <v>6.1058139999999996</v>
      </c>
      <c r="R43">
        <v>5.8766309999999997</v>
      </c>
      <c r="S43">
        <v>6.3020350000000001</v>
      </c>
      <c r="T43">
        <v>7.7867620000000004</v>
      </c>
      <c r="U43">
        <v>8.4071560000000005</v>
      </c>
      <c r="V43">
        <v>10.441139</v>
      </c>
      <c r="W43">
        <v>9.2225479999999997</v>
      </c>
      <c r="X43">
        <v>7.0210720000000002</v>
      </c>
      <c r="Y43">
        <v>6.7160960000000003</v>
      </c>
      <c r="Z43">
        <v>7.5855009999999998</v>
      </c>
      <c r="AA43">
        <v>8.7461579999999994</v>
      </c>
      <c r="AB43">
        <v>4.2491789999999998</v>
      </c>
      <c r="AC43">
        <v>3.5193539999999999</v>
      </c>
      <c r="AD43">
        <v>11.891451999999999</v>
      </c>
      <c r="AE43">
        <v>7.5062920000000002</v>
      </c>
      <c r="AF43">
        <v>8.2497640000000008</v>
      </c>
      <c r="AG43">
        <v>7.2027510000000001</v>
      </c>
      <c r="AH43">
        <v>8.5343549999999997</v>
      </c>
      <c r="AI43">
        <v>9.2680950000000006</v>
      </c>
      <c r="AJ43">
        <v>10.721565999999999</v>
      </c>
      <c r="AK43">
        <v>9.2396239999999992</v>
      </c>
      <c r="AL43">
        <v>8.9542669999999998</v>
      </c>
      <c r="AM43">
        <v>7.7118190000000002</v>
      </c>
      <c r="AN43">
        <v>7.3125619999999998</v>
      </c>
      <c r="AO43">
        <v>5.3650789999999997</v>
      </c>
      <c r="AP43">
        <v>0.527783</v>
      </c>
      <c r="AQ43">
        <v>0</v>
      </c>
      <c r="AR43">
        <v>1.376857</v>
      </c>
      <c r="AS43">
        <v>2.4670380000000001</v>
      </c>
    </row>
    <row r="44" spans="1:45" x14ac:dyDescent="0.55000000000000004">
      <c r="A44" s="3">
        <v>115</v>
      </c>
      <c r="B44">
        <v>1.2197309999999999</v>
      </c>
      <c r="C44">
        <v>1.5808199999999999</v>
      </c>
      <c r="D44">
        <v>2.0327250000000001</v>
      </c>
      <c r="E44">
        <v>3.3609040000000001</v>
      </c>
      <c r="F44">
        <v>2.4520909999999998</v>
      </c>
      <c r="G44">
        <v>2.845224</v>
      </c>
      <c r="H44">
        <v>3.1602450000000002</v>
      </c>
      <c r="I44">
        <v>6.2889799999999996</v>
      </c>
      <c r="J44">
        <v>3.389113</v>
      </c>
      <c r="K44">
        <v>3.4487329999999998</v>
      </c>
      <c r="L44">
        <v>3.6030489999999999</v>
      </c>
      <c r="M44">
        <v>4.6850019999999999</v>
      </c>
      <c r="N44">
        <v>4.4205300000000003</v>
      </c>
      <c r="O44">
        <v>4.444712</v>
      </c>
      <c r="P44">
        <v>9.9988080000000004</v>
      </c>
      <c r="Q44">
        <v>5.6006679999999998</v>
      </c>
      <c r="R44">
        <v>5.7408520000000003</v>
      </c>
      <c r="S44">
        <v>6.3224450000000001</v>
      </c>
      <c r="T44">
        <v>7.2704149999999998</v>
      </c>
      <c r="U44">
        <v>8.1484059999999996</v>
      </c>
      <c r="V44">
        <v>10.024131000000001</v>
      </c>
      <c r="W44">
        <v>8.7283329999999992</v>
      </c>
      <c r="X44">
        <v>7.1495870000000004</v>
      </c>
      <c r="Y44">
        <v>6.4857690000000003</v>
      </c>
      <c r="Z44">
        <v>7.5460779999999996</v>
      </c>
      <c r="AA44">
        <v>8.0355220000000003</v>
      </c>
      <c r="AB44">
        <v>3.99255</v>
      </c>
      <c r="AC44">
        <v>3.7979240000000001</v>
      </c>
      <c r="AD44">
        <v>11.369505999999999</v>
      </c>
      <c r="AE44">
        <v>7.7374239999999999</v>
      </c>
      <c r="AF44">
        <v>8.3459179999999993</v>
      </c>
      <c r="AG44">
        <v>7.4433220000000002</v>
      </c>
      <c r="AH44">
        <v>8.4648240000000001</v>
      </c>
      <c r="AI44">
        <v>9.2306260000000009</v>
      </c>
      <c r="AJ44">
        <v>10.159280000000001</v>
      </c>
      <c r="AK44">
        <v>8.4468289999999993</v>
      </c>
      <c r="AL44">
        <v>8.1327119999999997</v>
      </c>
      <c r="AM44">
        <v>6.7692410000000001</v>
      </c>
      <c r="AN44">
        <v>6.3046439999999997</v>
      </c>
      <c r="AO44">
        <v>4.2195200000000002</v>
      </c>
      <c r="AP44">
        <v>0.89765399999999995</v>
      </c>
      <c r="AQ44">
        <v>1.376857</v>
      </c>
      <c r="AR44">
        <v>0</v>
      </c>
      <c r="AS44">
        <v>1.090244</v>
      </c>
    </row>
    <row r="45" spans="1:45" x14ac:dyDescent="0.55000000000000004">
      <c r="B45">
        <v>2.0911590000000002</v>
      </c>
      <c r="C45">
        <v>1.705355</v>
      </c>
      <c r="D45">
        <v>2.42808</v>
      </c>
      <c r="E45">
        <v>3.2282920000000002</v>
      </c>
      <c r="F45">
        <v>3.1208629999999999</v>
      </c>
      <c r="G45">
        <v>3.1361469999999998</v>
      </c>
      <c r="H45">
        <v>3.7320449999999998</v>
      </c>
      <c r="I45">
        <v>5.7685979999999999</v>
      </c>
      <c r="J45">
        <v>3.8606310000000001</v>
      </c>
      <c r="K45">
        <v>3.6572200000000001</v>
      </c>
      <c r="L45">
        <v>3.9707780000000001</v>
      </c>
      <c r="M45">
        <v>4.9181239999999997</v>
      </c>
      <c r="N45">
        <v>4.4444020000000002</v>
      </c>
      <c r="O45">
        <v>3.9199229999999998</v>
      </c>
      <c r="P45">
        <v>9.9214169999999999</v>
      </c>
      <c r="Q45">
        <v>5.4041709999999998</v>
      </c>
      <c r="R45">
        <v>5.8495819999999998</v>
      </c>
      <c r="S45">
        <v>6.532203</v>
      </c>
      <c r="T45">
        <v>7.0124449999999996</v>
      </c>
      <c r="U45">
        <v>8.0894829999999995</v>
      </c>
      <c r="V45">
        <v>9.8035689999999995</v>
      </c>
      <c r="W45">
        <v>8.4608930000000004</v>
      </c>
      <c r="X45">
        <v>7.4180429999999999</v>
      </c>
      <c r="Y45">
        <v>6.4918259999999997</v>
      </c>
      <c r="Z45">
        <v>7.6761850000000003</v>
      </c>
      <c r="AA45">
        <v>7.5889290000000003</v>
      </c>
      <c r="AB45">
        <v>4.1024320000000003</v>
      </c>
      <c r="AC45">
        <v>4.3147510000000002</v>
      </c>
      <c r="AD45">
        <v>11.045582</v>
      </c>
      <c r="AE45">
        <v>8.0691799999999994</v>
      </c>
      <c r="AF45">
        <v>8.5643469999999997</v>
      </c>
      <c r="AG45">
        <v>7.7882379999999998</v>
      </c>
      <c r="AH45">
        <v>8.5522519999999993</v>
      </c>
      <c r="AI45">
        <v>9.330349</v>
      </c>
      <c r="AJ45">
        <v>9.8135429999999992</v>
      </c>
      <c r="AK45">
        <v>7.9189749999999997</v>
      </c>
      <c r="AL45">
        <v>7.5829560000000003</v>
      </c>
      <c r="AM45">
        <v>6.1269900000000002</v>
      </c>
      <c r="AN45">
        <v>5.6059099999999997</v>
      </c>
      <c r="AO45">
        <v>3.4231560000000001</v>
      </c>
      <c r="AP45">
        <v>1.9766680000000001</v>
      </c>
      <c r="AQ45">
        <v>2.4670380000000001</v>
      </c>
      <c r="AR45">
        <v>1.090244</v>
      </c>
      <c r="AS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84E2-F650-4809-9088-315360453A46}">
  <dimension ref="A1:I45"/>
  <sheetViews>
    <sheetView tabSelected="1" workbookViewId="0">
      <selection activeCell="C2" sqref="C2"/>
    </sheetView>
  </sheetViews>
  <sheetFormatPr defaultRowHeight="14.4" x14ac:dyDescent="0.55000000000000004"/>
  <cols>
    <col min="1" max="1" width="19.26171875" customWidth="1"/>
    <col min="2" max="2" width="20.68359375" customWidth="1"/>
    <col min="6" max="6" width="9.5234375" bestFit="1" customWidth="1"/>
    <col min="7" max="7" width="9.83984375" bestFit="1" customWidth="1"/>
    <col min="8" max="8" width="10.9453125" bestFit="1" customWidth="1"/>
    <col min="9" max="9" width="11" bestFit="1" customWidth="1"/>
  </cols>
  <sheetData>
    <row r="1" spans="1:9" x14ac:dyDescent="0.55000000000000004">
      <c r="A1" s="1" t="s">
        <v>0</v>
      </c>
      <c r="B1" s="1" t="s">
        <v>3</v>
      </c>
      <c r="C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s="2">
        <v>1</v>
      </c>
      <c r="B2" s="2">
        <v>1094</v>
      </c>
      <c r="C2">
        <f>$I$2*$I$3*B2</f>
        <v>298.22439999999995</v>
      </c>
      <c r="F2" t="s">
        <v>9</v>
      </c>
      <c r="G2">
        <v>1.024</v>
      </c>
      <c r="H2">
        <v>0.84</v>
      </c>
      <c r="I2">
        <v>0.47</v>
      </c>
    </row>
    <row r="3" spans="1:9" x14ac:dyDescent="0.55000000000000004">
      <c r="A3" s="2">
        <v>2</v>
      </c>
      <c r="B3" s="2">
        <v>633</v>
      </c>
      <c r="C3">
        <f t="shared" ref="C3:C29" si="0">$I$2*$I$3*B3</f>
        <v>172.55579999999998</v>
      </c>
      <c r="F3" t="s">
        <v>10</v>
      </c>
      <c r="G3">
        <v>0.92</v>
      </c>
      <c r="H3">
        <v>0</v>
      </c>
      <c r="I3">
        <v>0.57999999999999996</v>
      </c>
    </row>
    <row r="4" spans="1:9" x14ac:dyDescent="0.55000000000000004">
      <c r="A4" s="2">
        <v>3</v>
      </c>
      <c r="B4" s="2">
        <v>592</v>
      </c>
      <c r="C4">
        <f t="shared" si="0"/>
        <v>161.37919999999997</v>
      </c>
    </row>
    <row r="5" spans="1:9" x14ac:dyDescent="0.55000000000000004">
      <c r="A5" s="2">
        <v>5</v>
      </c>
      <c r="B5" s="2">
        <v>318</v>
      </c>
      <c r="C5">
        <f t="shared" si="0"/>
        <v>86.686799999999991</v>
      </c>
    </row>
    <row r="6" spans="1:9" x14ac:dyDescent="0.55000000000000004">
      <c r="A6" s="2">
        <v>6</v>
      </c>
      <c r="B6" s="2">
        <v>1108</v>
      </c>
      <c r="C6">
        <f t="shared" si="0"/>
        <v>302.04079999999993</v>
      </c>
    </row>
    <row r="7" spans="1:9" x14ac:dyDescent="0.55000000000000004">
      <c r="A7" s="2">
        <v>7</v>
      </c>
      <c r="B7" s="2">
        <v>1067</v>
      </c>
      <c r="C7">
        <f t="shared" si="0"/>
        <v>290.86419999999993</v>
      </c>
    </row>
    <row r="8" spans="1:9" x14ac:dyDescent="0.55000000000000004">
      <c r="A8" s="2">
        <v>8</v>
      </c>
      <c r="B8" s="2">
        <v>1488</v>
      </c>
      <c r="C8">
        <f t="shared" si="0"/>
        <v>405.62879999999996</v>
      </c>
    </row>
    <row r="9" spans="1:9" x14ac:dyDescent="0.55000000000000004">
      <c r="A9" s="2">
        <v>9</v>
      </c>
      <c r="B9" s="2">
        <v>500</v>
      </c>
      <c r="C9">
        <f t="shared" si="0"/>
        <v>136.29999999999998</v>
      </c>
    </row>
    <row r="10" spans="1:9" x14ac:dyDescent="0.55000000000000004">
      <c r="A10" s="2">
        <v>10</v>
      </c>
      <c r="B10" s="2">
        <v>882</v>
      </c>
      <c r="C10">
        <f t="shared" si="0"/>
        <v>240.43319999999997</v>
      </c>
    </row>
    <row r="11" spans="1:9" x14ac:dyDescent="0.55000000000000004">
      <c r="A11" s="2">
        <v>11</v>
      </c>
      <c r="B11" s="2">
        <v>61</v>
      </c>
      <c r="C11">
        <f t="shared" si="0"/>
        <v>16.628599999999999</v>
      </c>
    </row>
    <row r="12" spans="1:9" x14ac:dyDescent="0.55000000000000004">
      <c r="A12" s="2">
        <v>12</v>
      </c>
      <c r="B12" s="2">
        <v>386</v>
      </c>
      <c r="C12">
        <f t="shared" si="0"/>
        <v>105.22359999999998</v>
      </c>
    </row>
    <row r="13" spans="1:9" x14ac:dyDescent="0.55000000000000004">
      <c r="A13" s="2">
        <v>13</v>
      </c>
      <c r="B13" s="2">
        <v>535</v>
      </c>
      <c r="C13">
        <f t="shared" si="0"/>
        <v>145.84099999999998</v>
      </c>
    </row>
    <row r="14" spans="1:9" x14ac:dyDescent="0.55000000000000004">
      <c r="A14" s="2">
        <v>14</v>
      </c>
      <c r="B14" s="2">
        <v>539</v>
      </c>
      <c r="C14">
        <f t="shared" si="0"/>
        <v>146.93139999999997</v>
      </c>
    </row>
    <row r="15" spans="1:9" x14ac:dyDescent="0.55000000000000004">
      <c r="A15" s="2">
        <v>15</v>
      </c>
      <c r="B15" s="2">
        <v>612</v>
      </c>
      <c r="C15">
        <f t="shared" si="0"/>
        <v>166.83119999999997</v>
      </c>
    </row>
    <row r="16" spans="1:9" x14ac:dyDescent="0.55000000000000004">
      <c r="A16" s="2">
        <v>16</v>
      </c>
      <c r="B16" s="2">
        <v>380</v>
      </c>
      <c r="C16">
        <f t="shared" si="0"/>
        <v>103.58799999999998</v>
      </c>
    </row>
    <row r="17" spans="1:3" x14ac:dyDescent="0.55000000000000004">
      <c r="A17" s="2">
        <v>17</v>
      </c>
      <c r="B17" s="2">
        <v>19</v>
      </c>
      <c r="C17">
        <f t="shared" si="0"/>
        <v>5.1793999999999993</v>
      </c>
    </row>
    <row r="18" spans="1:3" x14ac:dyDescent="0.55000000000000004">
      <c r="A18" s="2">
        <v>18</v>
      </c>
      <c r="B18" s="2">
        <v>1573</v>
      </c>
      <c r="C18">
        <f t="shared" si="0"/>
        <v>428.79979999999995</v>
      </c>
    </row>
    <row r="19" spans="1:3" x14ac:dyDescent="0.55000000000000004">
      <c r="A19" s="2">
        <v>19</v>
      </c>
      <c r="B19" s="2">
        <v>1258</v>
      </c>
      <c r="C19">
        <f t="shared" si="0"/>
        <v>342.93079999999992</v>
      </c>
    </row>
    <row r="20" spans="1:3" x14ac:dyDescent="0.55000000000000004">
      <c r="A20" s="2">
        <v>20</v>
      </c>
      <c r="B20" s="2">
        <v>2597</v>
      </c>
      <c r="C20">
        <f t="shared" si="0"/>
        <v>707.94219999999984</v>
      </c>
    </row>
    <row r="21" spans="1:3" x14ac:dyDescent="0.55000000000000004">
      <c r="A21" s="2">
        <v>21</v>
      </c>
      <c r="B21" s="2">
        <v>858</v>
      </c>
      <c r="C21">
        <f t="shared" si="0"/>
        <v>233.89079999999996</v>
      </c>
    </row>
    <row r="22" spans="1:3" x14ac:dyDescent="0.55000000000000004">
      <c r="A22" s="2">
        <v>22</v>
      </c>
      <c r="B22" s="2">
        <v>898</v>
      </c>
      <c r="C22">
        <f t="shared" si="0"/>
        <v>244.79479999999995</v>
      </c>
    </row>
    <row r="23" spans="1:3" x14ac:dyDescent="0.55000000000000004">
      <c r="A23" s="2">
        <v>23</v>
      </c>
      <c r="B23" s="2">
        <v>1746</v>
      </c>
      <c r="C23">
        <f t="shared" si="0"/>
        <v>475.95959999999991</v>
      </c>
    </row>
    <row r="24" spans="1:3" x14ac:dyDescent="0.55000000000000004">
      <c r="A24" s="2">
        <v>24</v>
      </c>
      <c r="B24" s="2">
        <v>211</v>
      </c>
      <c r="C24">
        <f t="shared" si="0"/>
        <v>57.518599999999992</v>
      </c>
    </row>
    <row r="25" spans="1:3" x14ac:dyDescent="0.55000000000000004">
      <c r="A25" s="2">
        <v>25</v>
      </c>
      <c r="B25" s="2">
        <v>1974</v>
      </c>
      <c r="C25">
        <f t="shared" si="0"/>
        <v>538.11239999999987</v>
      </c>
    </row>
    <row r="26" spans="1:3" x14ac:dyDescent="0.55000000000000004">
      <c r="A26" s="2">
        <v>26</v>
      </c>
      <c r="B26" s="2">
        <v>192</v>
      </c>
      <c r="C26">
        <f t="shared" si="0"/>
        <v>52.339199999999991</v>
      </c>
    </row>
    <row r="27" spans="1:3" x14ac:dyDescent="0.55000000000000004">
      <c r="A27" s="2">
        <v>27</v>
      </c>
      <c r="B27" s="2">
        <v>3477</v>
      </c>
      <c r="C27">
        <f t="shared" si="0"/>
        <v>947.83019999999988</v>
      </c>
    </row>
    <row r="28" spans="1:3" x14ac:dyDescent="0.55000000000000004">
      <c r="A28" s="2">
        <v>28</v>
      </c>
      <c r="B28" s="2">
        <v>954</v>
      </c>
      <c r="C28">
        <f t="shared" si="0"/>
        <v>260.06039999999996</v>
      </c>
    </row>
    <row r="29" spans="1:3" x14ac:dyDescent="0.55000000000000004">
      <c r="A29" s="2">
        <v>29</v>
      </c>
      <c r="B29" s="2">
        <v>833</v>
      </c>
      <c r="C29">
        <f t="shared" si="0"/>
        <v>227.07579999999996</v>
      </c>
    </row>
    <row r="30" spans="1:3" x14ac:dyDescent="0.55000000000000004">
      <c r="A30" s="2"/>
      <c r="B30" s="2"/>
    </row>
    <row r="31" spans="1:3" x14ac:dyDescent="0.55000000000000004">
      <c r="A31" s="2"/>
      <c r="B31" s="2"/>
    </row>
    <row r="32" spans="1:3" x14ac:dyDescent="0.55000000000000004">
      <c r="A32" s="2"/>
      <c r="B32" s="2"/>
    </row>
    <row r="33" spans="1:2" x14ac:dyDescent="0.55000000000000004">
      <c r="A33" s="2"/>
      <c r="B33" s="2"/>
    </row>
    <row r="34" spans="1:2" x14ac:dyDescent="0.55000000000000004">
      <c r="A34" s="2"/>
      <c r="B34" s="2"/>
    </row>
    <row r="35" spans="1:2" x14ac:dyDescent="0.55000000000000004">
      <c r="A35" s="2"/>
      <c r="B35" s="2"/>
    </row>
    <row r="36" spans="1:2" x14ac:dyDescent="0.55000000000000004">
      <c r="A36" s="2"/>
      <c r="B36" s="2"/>
    </row>
    <row r="37" spans="1:2" x14ac:dyDescent="0.55000000000000004">
      <c r="A37" s="2"/>
      <c r="B37" s="2"/>
    </row>
    <row r="38" spans="1:2" x14ac:dyDescent="0.55000000000000004">
      <c r="A38" s="2"/>
      <c r="B38" s="2"/>
    </row>
    <row r="39" spans="1:2" x14ac:dyDescent="0.55000000000000004">
      <c r="A39" s="2"/>
      <c r="B39" s="2"/>
    </row>
    <row r="40" spans="1:2" x14ac:dyDescent="0.55000000000000004">
      <c r="A40" s="2"/>
      <c r="B40" s="2"/>
    </row>
    <row r="41" spans="1:2" x14ac:dyDescent="0.55000000000000004">
      <c r="A41" s="2"/>
      <c r="B41" s="2"/>
    </row>
    <row r="42" spans="1:2" x14ac:dyDescent="0.55000000000000004">
      <c r="A42" s="2"/>
      <c r="B42" s="2"/>
    </row>
    <row r="43" spans="1:2" x14ac:dyDescent="0.55000000000000004">
      <c r="A43" s="2"/>
      <c r="B43" s="2"/>
    </row>
    <row r="44" spans="1:2" x14ac:dyDescent="0.55000000000000004">
      <c r="A44" s="2"/>
      <c r="B44" s="2"/>
    </row>
    <row r="45" spans="1:2" x14ac:dyDescent="0.55000000000000004">
      <c r="A45" s="2"/>
      <c r="B45" s="2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F503-BBC1-4C2B-AAD1-9D61F4F1382B}">
  <dimension ref="A1:AG106"/>
  <sheetViews>
    <sheetView zoomScale="57" zoomScaleNormal="55" workbookViewId="0">
      <selection activeCell="E77" sqref="E77"/>
    </sheetView>
  </sheetViews>
  <sheetFormatPr defaultRowHeight="14.4" x14ac:dyDescent="0.55000000000000004"/>
  <cols>
    <col min="2" max="2" width="11.47265625" bestFit="1" customWidth="1"/>
    <col min="4" max="4" width="9.5234375" bestFit="1" customWidth="1"/>
    <col min="5" max="5" width="9.83984375" bestFit="1" customWidth="1"/>
    <col min="6" max="6" width="10.9453125" bestFit="1" customWidth="1"/>
    <col min="7" max="7" width="11" bestFit="1" customWidth="1"/>
  </cols>
  <sheetData>
    <row r="1" spans="1:32" x14ac:dyDescent="0.55000000000000004">
      <c r="A1" t="s">
        <v>12</v>
      </c>
      <c r="B1" t="s">
        <v>11</v>
      </c>
      <c r="D1" t="s">
        <v>5</v>
      </c>
      <c r="E1" t="s">
        <v>6</v>
      </c>
      <c r="F1" t="s">
        <v>13</v>
      </c>
      <c r="G1" t="s">
        <v>8</v>
      </c>
    </row>
    <row r="2" spans="1:32" x14ac:dyDescent="0.55000000000000004">
      <c r="A2">
        <v>1</v>
      </c>
      <c r="B2">
        <v>152</v>
      </c>
      <c r="D2" t="s">
        <v>9</v>
      </c>
      <c r="E2">
        <v>8.9999999999999998E-4</v>
      </c>
      <c r="F2">
        <v>0.01</v>
      </c>
      <c r="G2">
        <v>2.6394999999999999E-3</v>
      </c>
    </row>
    <row r="3" spans="1:32" x14ac:dyDescent="0.55000000000000004">
      <c r="A3">
        <v>2</v>
      </c>
      <c r="B3">
        <v>22</v>
      </c>
      <c r="D3" t="s">
        <v>10</v>
      </c>
      <c r="E3">
        <v>-0.7</v>
      </c>
      <c r="F3">
        <v>0</v>
      </c>
      <c r="G3">
        <v>-0.1</v>
      </c>
    </row>
    <row r="4" spans="1:32" x14ac:dyDescent="0.55000000000000004">
      <c r="A4">
        <v>3</v>
      </c>
      <c r="B4">
        <v>42</v>
      </c>
    </row>
    <row r="5" spans="1:32" x14ac:dyDescent="0.55000000000000004">
      <c r="A5">
        <v>5</v>
      </c>
      <c r="B5">
        <v>9</v>
      </c>
    </row>
    <row r="6" spans="1:32" x14ac:dyDescent="0.55000000000000004">
      <c r="A6">
        <v>6</v>
      </c>
      <c r="B6">
        <v>83</v>
      </c>
      <c r="E6">
        <v>152</v>
      </c>
      <c r="F6">
        <v>22</v>
      </c>
      <c r="G6">
        <v>42</v>
      </c>
      <c r="H6">
        <v>9</v>
      </c>
      <c r="I6">
        <v>83</v>
      </c>
      <c r="J6">
        <v>19</v>
      </c>
      <c r="K6">
        <v>92</v>
      </c>
      <c r="L6">
        <v>17</v>
      </c>
      <c r="M6">
        <v>129</v>
      </c>
      <c r="N6">
        <v>18</v>
      </c>
      <c r="O6">
        <v>30</v>
      </c>
      <c r="P6">
        <v>85</v>
      </c>
      <c r="Q6">
        <v>47</v>
      </c>
      <c r="R6">
        <v>82</v>
      </c>
      <c r="S6">
        <v>22</v>
      </c>
      <c r="T6">
        <v>2</v>
      </c>
      <c r="U6">
        <v>34</v>
      </c>
      <c r="V6">
        <v>162</v>
      </c>
      <c r="W6">
        <v>54</v>
      </c>
      <c r="X6">
        <v>29</v>
      </c>
      <c r="Y6">
        <v>30</v>
      </c>
      <c r="Z6">
        <v>108</v>
      </c>
      <c r="AA6">
        <v>55</v>
      </c>
      <c r="AB6">
        <v>14</v>
      </c>
      <c r="AC6">
        <v>38</v>
      </c>
      <c r="AD6">
        <v>51</v>
      </c>
      <c r="AE6">
        <v>43</v>
      </c>
      <c r="AF6">
        <v>238</v>
      </c>
    </row>
    <row r="7" spans="1:32" x14ac:dyDescent="0.55000000000000004">
      <c r="A7">
        <v>7</v>
      </c>
      <c r="B7">
        <v>19</v>
      </c>
      <c r="E7" s="3">
        <v>1</v>
      </c>
      <c r="F7" s="3">
        <v>2</v>
      </c>
      <c r="G7" s="3">
        <v>3</v>
      </c>
      <c r="H7" s="3">
        <v>5</v>
      </c>
      <c r="I7" s="3">
        <v>6</v>
      </c>
      <c r="J7" s="3">
        <v>7</v>
      </c>
      <c r="K7" s="3">
        <v>8</v>
      </c>
      <c r="L7" s="3">
        <v>9</v>
      </c>
      <c r="M7" s="3">
        <v>10</v>
      </c>
      <c r="N7" s="3">
        <v>11</v>
      </c>
      <c r="O7" s="3">
        <v>12</v>
      </c>
      <c r="P7" s="3">
        <v>13</v>
      </c>
      <c r="Q7" s="3">
        <v>14</v>
      </c>
      <c r="R7" s="3">
        <v>15</v>
      </c>
      <c r="S7" s="3">
        <v>16</v>
      </c>
      <c r="T7" s="3">
        <v>17</v>
      </c>
      <c r="U7" s="3">
        <v>18</v>
      </c>
      <c r="V7" s="3">
        <v>19</v>
      </c>
      <c r="W7" s="3">
        <v>20</v>
      </c>
      <c r="X7" s="3">
        <v>21</v>
      </c>
      <c r="Y7" s="3">
        <v>22</v>
      </c>
      <c r="Z7" s="3">
        <v>23</v>
      </c>
      <c r="AA7" s="3">
        <v>24</v>
      </c>
      <c r="AB7" s="3">
        <v>25</v>
      </c>
      <c r="AC7" s="3">
        <v>26</v>
      </c>
      <c r="AD7" s="3">
        <v>27</v>
      </c>
      <c r="AE7" s="3">
        <v>28</v>
      </c>
      <c r="AF7" s="3">
        <v>29</v>
      </c>
    </row>
    <row r="8" spans="1:32" x14ac:dyDescent="0.55000000000000004">
      <c r="A8">
        <v>8</v>
      </c>
      <c r="B8">
        <v>92</v>
      </c>
      <c r="D8" s="3">
        <v>1</v>
      </c>
      <c r="E8" s="4">
        <f>($G$2*E$6)+($G$3*distancematrix!B2)</f>
        <v>0.33302204480316511</v>
      </c>
      <c r="F8" s="4">
        <f>($G$2*F$6)+($G$3*distancematrix!C2)</f>
        <v>-7.0384400000000027E-2</v>
      </c>
      <c r="G8" s="4">
        <f>($G$2*G$6)+($G$3*distancematrix!D2)</f>
        <v>-8.4232000000000057E-3</v>
      </c>
      <c r="H8" s="4">
        <f>($G$2*H$6)+($G$3*distancematrix!E2)</f>
        <v>-0.26253950000000004</v>
      </c>
      <c r="I8" s="4">
        <f>($G$2*I$6)+($G$3*distancematrix!F2)</f>
        <v>9.1230499999999964E-2</v>
      </c>
      <c r="J8" s="4">
        <f>($G$2*J$6)+($G$3*distancematrix!G2)</f>
        <v>-0.14645540000000001</v>
      </c>
      <c r="K8" s="4">
        <f>($G$2*K$6)+($G$3*distancematrix!H2)</f>
        <v>4.1148299999999999E-2</v>
      </c>
      <c r="L8" s="4">
        <f>($G$2*L$6)+($G$3*distancematrix!I2)</f>
        <v>-0.55889430000000018</v>
      </c>
      <c r="M8" s="4">
        <f>($G$2*M$6)+($G$3*distancematrix!J2)</f>
        <v>0.11001229999999998</v>
      </c>
      <c r="N8" s="4">
        <f>($G$2*N$6)+($G$3*distancematrix!K2)</f>
        <v>-0.21130119999999999</v>
      </c>
      <c r="O8" s="4">
        <f>($G$2*O$6)+($G$3*distancematrix!L2)</f>
        <v>-0.17970949999999997</v>
      </c>
      <c r="P8" s="4">
        <f>($G$2*P$6)+($G$3*distancematrix!M2)</f>
        <v>-0.14890690000000006</v>
      </c>
      <c r="Q8" s="4">
        <f>($G$2*Q$6)+($G$3*distancematrix!N2)</f>
        <v>-0.2428786</v>
      </c>
      <c r="R8" s="4">
        <f>($G$2*R$6)+($G$3*distancematrix!O2)</f>
        <v>-0.21246570000000004</v>
      </c>
      <c r="S8" s="4">
        <f>($G$2*S$6)+($G$3*distancematrix!P2)</f>
        <v>-0.86266880000000001</v>
      </c>
      <c r="T8" s="4">
        <f>($G$2*T$6)+($G$3*distancematrix!Q2)</f>
        <v>-0.49600749999999999</v>
      </c>
      <c r="U8" s="4">
        <f>($G$2*U$6)+($G$3*distancematrix!R2)</f>
        <v>-0.39614820000000001</v>
      </c>
      <c r="V8" s="4">
        <f>($G$2*V$6)+($G$3*distancematrix!S2)</f>
        <v>-0.10698950000000002</v>
      </c>
      <c r="W8" s="4">
        <f>($G$2*W$6)+($G$3*distancematrix!T2)</f>
        <v>-0.52699760000000007</v>
      </c>
      <c r="X8" s="4">
        <f>($G$2*X$6)+($G$3*distancematrix!U2)</f>
        <v>-0.65979139999999992</v>
      </c>
      <c r="Y8" s="4">
        <f>($G$2*Y$6)+($G$3*distancematrix!V2)</f>
        <v>-0.85744779999999998</v>
      </c>
      <c r="Z8" s="4">
        <f>($G$2*Z$6)+($G$3*distancematrix!W2)</f>
        <v>-0.52843879999999999</v>
      </c>
      <c r="AA8" s="4">
        <f>($G$2*AA$6)+($G$3*distancematrix!X2)</f>
        <v>-0.46667930000000007</v>
      </c>
      <c r="AB8" s="4">
        <f>($G$2*AB$6)+($G$3*distancematrix!Y2)</f>
        <v>-0.53048070000000003</v>
      </c>
      <c r="AC8" s="4">
        <f>($G$2*AC$6)+($G$3*distancematrix!Z2)</f>
        <v>-0.56080200000000013</v>
      </c>
      <c r="AD8" s="4">
        <f>($G$2*AD$6)+($G$3*distancematrix!AA2)</f>
        <v>-0.63042980000000004</v>
      </c>
      <c r="AE8" s="4">
        <f>($G$2*AE$6)+($G$3*distancematrix!AB2)</f>
        <v>-0.20502039999999999</v>
      </c>
      <c r="AF8" s="4">
        <f>($G$2*AF$6)+($G$3*distancematrix!AC2)</f>
        <v>0.36138720000000002</v>
      </c>
    </row>
    <row r="9" spans="1:32" x14ac:dyDescent="0.55000000000000004">
      <c r="A9">
        <v>9</v>
      </c>
      <c r="B9">
        <v>17</v>
      </c>
      <c r="D9" s="3">
        <v>2</v>
      </c>
      <c r="E9" s="4">
        <f>($G$2*E$6)+($G$3*distancematrix!B3)</f>
        <v>0.27275059999999995</v>
      </c>
      <c r="F9" s="4">
        <f>($G$2*F$6)+($G$3*distancematrix!C3)</f>
        <v>5.7839346073201986E-3</v>
      </c>
      <c r="G9" s="4">
        <f>($G$2*G$6)+($G$3*distancematrix!D3)</f>
        <v>3.2624799999999995E-2</v>
      </c>
      <c r="H9" s="4">
        <f>($G$2*H$6)+($G$3*distancematrix!E3)</f>
        <v>-0.1547405</v>
      </c>
      <c r="I9" s="4">
        <f>($G$2*I$6)+($G$3*distancematrix!F3)</f>
        <v>5.4839599999999961E-2</v>
      </c>
      <c r="J9" s="4">
        <f>($G$2*J$6)+($G$3*distancematrix!G3)</f>
        <v>-9.2929100000000001E-2</v>
      </c>
      <c r="K9" s="4">
        <f>($G$2*K$6)+($G$3*distancematrix!H3)</f>
        <v>3.1509399999999965E-2</v>
      </c>
      <c r="L9" s="4">
        <f>($G$2*L$6)+($G$3*distancematrix!I3)</f>
        <v>-0.43839439999999996</v>
      </c>
      <c r="M9" s="4">
        <f>($G$2*M$6)+($G$3*distancematrix!J3)</f>
        <v>0.12220880000000001</v>
      </c>
      <c r="N9" s="4">
        <f>($G$2*N$6)+($G$3*distancematrix!K3)</f>
        <v>-0.14935329999999999</v>
      </c>
      <c r="O9" s="4">
        <f>($G$2*O$6)+($G$3*distancematrix!L3)</f>
        <v>-0.14751649999999999</v>
      </c>
      <c r="P9" s="4">
        <f>($G$2*P$6)+($G$3*distancematrix!M3)</f>
        <v>-9.8756200000000016E-2</v>
      </c>
      <c r="Q9" s="4">
        <f>($G$2*Q$6)+($G$3*distancematrix!N3)</f>
        <v>-0.16187550000000001</v>
      </c>
      <c r="R9" s="4">
        <f>($G$2*R$6)+($G$3*distancematrix!O3)</f>
        <v>-8.7399100000000063E-2</v>
      </c>
      <c r="S9" s="4">
        <f>($G$2*S$6)+($G$3*distancematrix!P3)</f>
        <v>-0.78471510000000011</v>
      </c>
      <c r="T9" s="4">
        <f>($G$2*T$6)+($G$3*distancematrix!Q3)</f>
        <v>-0.39697969999999999</v>
      </c>
      <c r="U9" s="4">
        <f>($G$2*U$6)+($G$3*distancematrix!R3)</f>
        <v>-0.3321537</v>
      </c>
      <c r="V9" s="4">
        <f>($G$2*V$6)+($G$3*distancematrix!S3)</f>
        <v>-5.8320800000000006E-2</v>
      </c>
      <c r="W9" s="4">
        <f>($G$2*W$6)+($G$3*distancematrix!T3)</f>
        <v>-0.42714470000000004</v>
      </c>
      <c r="X9" s="4">
        <f>($G$2*X$6)+($G$3*distancematrix!U3)</f>
        <v>-0.58133460000000003</v>
      </c>
      <c r="Y9" s="4">
        <f>($G$2*Y$6)+($G$3*distancematrix!V3)</f>
        <v>-0.76522610000000002</v>
      </c>
      <c r="Z9" s="4">
        <f>($G$2*Z$6)+($G$3*distancematrix!W3)</f>
        <v>-0.43031500000000006</v>
      </c>
      <c r="AA9" s="4">
        <f>($G$2*AA$6)+($G$3*distancematrix!X3)</f>
        <v>-0.42777859999999995</v>
      </c>
      <c r="AB9" s="4">
        <f>($G$2*AB$6)+($G$3*distancematrix!Y3)</f>
        <v>-0.45586830000000006</v>
      </c>
      <c r="AC9" s="4">
        <f>($G$2*AC$6)+($G$3*distancematrix!Z3)</f>
        <v>-0.50375800000000004</v>
      </c>
      <c r="AD9" s="4">
        <f>($G$2*AD$6)+($G$3*distancematrix!AA3)</f>
        <v>-0.51727600000000007</v>
      </c>
      <c r="AE9" s="4">
        <f>($G$2*AE$6)+($G$3*distancematrix!AB3)</f>
        <v>-0.13252060000000002</v>
      </c>
      <c r="AF9" s="4">
        <f>($G$2*AF$6)+($G$3*distancematrix!AC3)</f>
        <v>0.36347000000000002</v>
      </c>
    </row>
    <row r="10" spans="1:32" x14ac:dyDescent="0.55000000000000004">
      <c r="A10">
        <v>10</v>
      </c>
      <c r="B10">
        <v>129</v>
      </c>
      <c r="D10" s="3">
        <v>3</v>
      </c>
      <c r="E10" s="4">
        <f>($G$2*E$6)+($G$3*distancematrix!B4)</f>
        <v>0.2819218</v>
      </c>
      <c r="F10" s="4">
        <f>($G$2*F$6)+($G$3*distancematrix!C4)</f>
        <v>-2.0165200000000008E-2</v>
      </c>
      <c r="G10" s="4">
        <f>($G$2*G$6)+($G$3*distancematrix!D4)</f>
        <v>4.6100627515801698E-2</v>
      </c>
      <c r="H10" s="4">
        <f>($G$2*H$6)+($G$3*distancematrix!E4)</f>
        <v>-0.14729810000000004</v>
      </c>
      <c r="I10" s="4">
        <f>($G$2*I$6)+($G$3*distancematrix!F4)</f>
        <v>0.12791109999999997</v>
      </c>
      <c r="J10" s="4">
        <f>($G$2*J$6)+($G$3*distancematrix!G4)</f>
        <v>-3.1697700000000009E-2</v>
      </c>
      <c r="K10" s="4">
        <f>($G$2*K$6)+($G$3*distancematrix!H4)</f>
        <v>0.10962369999999999</v>
      </c>
      <c r="L10" s="4">
        <f>($G$2*L$6)+($G$3*distancematrix!I4)</f>
        <v>-0.44726830000000001</v>
      </c>
      <c r="M10" s="4">
        <f>($G$2*M$6)+($G$3*distancematrix!J4)</f>
        <v>0.19719010000000001</v>
      </c>
      <c r="N10" s="4">
        <f>($G$2*N$6)+($G$3*distancematrix!K4)</f>
        <v>-9.6129600000000009E-2</v>
      </c>
      <c r="O10" s="4">
        <f>($G$2*O$6)+($G$3*distancematrix!L4)</f>
        <v>-7.9137300000000035E-2</v>
      </c>
      <c r="P10" s="4">
        <f>($G$2*P$6)+($G$3*distancematrix!M4)</f>
        <v>-4.1002200000000044E-2</v>
      </c>
      <c r="Q10" s="4">
        <f>($G$2*Q$6)+($G$3*distancematrix!N4)</f>
        <v>-0.12457059999999999</v>
      </c>
      <c r="R10" s="4">
        <f>($G$2*R$6)+($G$3*distancematrix!O4)</f>
        <v>-0.10890660000000002</v>
      </c>
      <c r="S10" s="4">
        <f>($G$2*S$6)+($G$3*distancematrix!P4)</f>
        <v>-0.74678869999999997</v>
      </c>
      <c r="T10" s="4">
        <f>($G$2*T$6)+($G$3*distancematrix!Q4)</f>
        <v>-0.3768166</v>
      </c>
      <c r="U10" s="4">
        <f>($G$2*U$6)+($G$3*distancematrix!R4)</f>
        <v>-0.28349239999999998</v>
      </c>
      <c r="V10" s="4">
        <f>($G$2*V$6)+($G$3*distancematrix!S4)</f>
        <v>-1.43589999999999E-3</v>
      </c>
      <c r="W10" s="4">
        <f>($G$2*W$6)+($G$3*distancematrix!T4)</f>
        <v>-0.40774719999999998</v>
      </c>
      <c r="X10" s="4">
        <f>($G$2*X$6)+($G$3*distancematrix!U4)</f>
        <v>-0.5434601</v>
      </c>
      <c r="Y10" s="4">
        <f>($G$2*Y$6)+($G$3*distancematrix!V4)</f>
        <v>-0.73863060000000003</v>
      </c>
      <c r="Z10" s="4">
        <f>($G$2*Z$6)+($G$3*distancematrix!W4)</f>
        <v>-0.40916420000000003</v>
      </c>
      <c r="AA10" s="4">
        <f>($G$2*AA$6)+($G$3*distancematrix!X4)</f>
        <v>-0.36680660000000004</v>
      </c>
      <c r="AB10" s="4">
        <f>($G$2*AB$6)+($G$3*distancematrix!Y4)</f>
        <v>-0.41472749999999997</v>
      </c>
      <c r="AC10" s="4">
        <f>($G$2*AC$6)+($G$3*distancematrix!Z4)</f>
        <v>-0.45196700000000012</v>
      </c>
      <c r="AD10" s="4">
        <f>($G$2*AD$6)+($G$3*distancematrix!AA4)</f>
        <v>-0.51359990000000011</v>
      </c>
      <c r="AE10" s="4">
        <f>($G$2*AE$6)+($G$3*distancematrix!AB4)</f>
        <v>-8.7993900000000014E-2</v>
      </c>
      <c r="AF10" s="4">
        <f>($G$2*AF$6)+($G$3*distancematrix!AC4)</f>
        <v>0.4394496</v>
      </c>
    </row>
    <row r="11" spans="1:32" x14ac:dyDescent="0.55000000000000004">
      <c r="A11">
        <v>11</v>
      </c>
      <c r="B11">
        <v>18</v>
      </c>
      <c r="D11" s="3">
        <v>5</v>
      </c>
      <c r="E11" s="4">
        <f>($G$2*E$6)+($G$3*distancematrix!B5)</f>
        <v>0.11490899999999998</v>
      </c>
      <c r="F11" s="4">
        <f>($G$2*F$6)+($G$3*distancematrix!C5)</f>
        <v>-0.12042700000000002</v>
      </c>
      <c r="G11" s="4">
        <f>($G$2*G$6)+($G$3*distancematrix!D5)</f>
        <v>-6.0194600000000029E-2</v>
      </c>
      <c r="H11" s="4">
        <f>($G$2*H$6)+($G$3*distancematrix!E5)</f>
        <v>-5.9340356037154901E-2</v>
      </c>
      <c r="I11" s="4">
        <f>($G$2*I$6)+($G$3*distancematrix!F5)</f>
        <v>-1.7363300000000054E-2</v>
      </c>
      <c r="J11" s="4">
        <f>($G$2*J$6)+($G$3*distancematrix!G5)</f>
        <v>-7.5946100000000002E-2</v>
      </c>
      <c r="K11" s="4">
        <f>($G$2*K$6)+($G$3*distancematrix!H5)</f>
        <v>1.9599299999999986E-2</v>
      </c>
      <c r="L11" s="4">
        <f>($G$2*L$6)+($G$3*distancematrix!I5)</f>
        <v>-0.27670549999999999</v>
      </c>
      <c r="M11" s="4">
        <f>($G$2*M$6)+($G$3*distancematrix!J5)</f>
        <v>0.14364919999999998</v>
      </c>
      <c r="N11" s="4">
        <f>($G$2*N$6)+($G$3*distancematrix!K5)</f>
        <v>-6.2745200000000015E-2</v>
      </c>
      <c r="O11" s="4">
        <f>($G$2*O$6)+($G$3*distancematrix!L5)</f>
        <v>-9.1328300000000015E-2</v>
      </c>
      <c r="P11" s="4">
        <f>($G$2*P$6)+($G$3*distancematrix!M5)</f>
        <v>2.1943199999999968E-2</v>
      </c>
      <c r="Q11" s="4">
        <f>($G$2*Q$6)+($G$3*distancematrix!N5)</f>
        <v>-3.3414999999999834E-3</v>
      </c>
      <c r="R11" s="4">
        <f>($G$2*R$6)+($G$3*distancematrix!O5)</f>
        <v>5.0076599999999971E-2</v>
      </c>
      <c r="S11" s="4">
        <f>($G$2*S$6)+($G$3*distancematrix!P5)</f>
        <v>-0.61213459999999997</v>
      </c>
      <c r="T11" s="4">
        <f>($G$2*T$6)+($G$3*distancematrix!Q5)</f>
        <v>-0.21871979999999999</v>
      </c>
      <c r="U11" s="4">
        <f>($G$2*U$6)+($G$3*distancematrix!R5)</f>
        <v>-0.18019349999999995</v>
      </c>
      <c r="V11" s="4">
        <f>($G$2*V$6)+($G$3*distancematrix!S5)</f>
        <v>8.0595699999999992E-2</v>
      </c>
      <c r="W11" s="4">
        <f>($G$2*W$6)+($G$3*distancematrix!T5)</f>
        <v>-0.24864870000000003</v>
      </c>
      <c r="X11" s="4">
        <f>($G$2*X$6)+($G$3*distancematrix!U5)</f>
        <v>-0.40984170000000003</v>
      </c>
      <c r="Y11" s="4">
        <f>($G$2*Y$6)+($G$3*distancematrix!V5)</f>
        <v>-0.58733570000000002</v>
      </c>
      <c r="Z11" s="4">
        <f>($G$2*Z$6)+($G$3*distancematrix!W5)</f>
        <v>-0.25182910000000008</v>
      </c>
      <c r="AA11" s="4">
        <f>($G$2*AA$6)+($G$3*distancematrix!X5)</f>
        <v>-0.29490310000000008</v>
      </c>
      <c r="AB11" s="4">
        <f>($G$2*AB$6)+($G$3*distancematrix!Y5)</f>
        <v>-0.2900471</v>
      </c>
      <c r="AC11" s="4">
        <f>($G$2*AC$6)+($G$3*distancematrix!Z5)</f>
        <v>-0.35035690000000008</v>
      </c>
      <c r="AD11" s="4">
        <f>($G$2*AD$6)+($G$3*distancematrix!AA5)</f>
        <v>-0.34417700000000007</v>
      </c>
      <c r="AE11" s="4">
        <f>($G$2*AE$6)+($G$3*distancematrix!AB5)</f>
        <v>2.1711999999999981E-3</v>
      </c>
      <c r="AF11" s="4">
        <f>($G$2*AF$6)+($G$3*distancematrix!AC5)</f>
        <v>0.3937235</v>
      </c>
    </row>
    <row r="12" spans="1:32" x14ac:dyDescent="0.55000000000000004">
      <c r="A12">
        <v>12</v>
      </c>
      <c r="B12">
        <v>30</v>
      </c>
      <c r="D12" s="3">
        <v>6</v>
      </c>
      <c r="E12" s="4">
        <f>($G$2*E$6)+($G$3*distancematrix!B6)</f>
        <v>0.27335599999999999</v>
      </c>
      <c r="F12" s="4">
        <f>($G$2*F$6)+($G$3*distancematrix!C6)</f>
        <v>-0.10616990000000003</v>
      </c>
      <c r="G12" s="4">
        <f>($G$2*G$6)+($G$3*distancematrix!D6)</f>
        <v>1.969159999999999E-2</v>
      </c>
      <c r="H12" s="4">
        <f>($G$2*H$6)+($G$3*distancematrix!E6)</f>
        <v>-0.21268630000000005</v>
      </c>
      <c r="I12" s="4">
        <f>($G$2*I$6)+($G$3*distancematrix!F6)</f>
        <v>0.16496268917667556</v>
      </c>
      <c r="J12" s="4">
        <f>($G$2*J$6)+($G$3*distancematrix!G6)</f>
        <v>-6.3299099999999997E-2</v>
      </c>
      <c r="K12" s="4">
        <f>($G$2*K$6)+($G$3*distancematrix!H6)</f>
        <v>0.16827769999999997</v>
      </c>
      <c r="L12" s="4">
        <f>($G$2*L$6)+($G$3*distancematrix!I6)</f>
        <v>-0.50974940000000013</v>
      </c>
      <c r="M12" s="4">
        <f>($G$2*M$6)+($G$3*distancematrix!J6)</f>
        <v>0.23226269999999999</v>
      </c>
      <c r="N12" s="4">
        <f>($G$2*N$6)+($G$3*distancematrix!K6)</f>
        <v>-0.1173971</v>
      </c>
      <c r="O12" s="4">
        <f>($G$2*O$6)+($G$3*distancematrix!L6)</f>
        <v>-6.44396E-2</v>
      </c>
      <c r="P12" s="4">
        <f>($G$2*P$6)+($G$3*distancematrix!M6)</f>
        <v>-3.4991500000000009E-2</v>
      </c>
      <c r="Q12" s="4">
        <f>($G$2*Q$6)+($G$3*distancematrix!N6)</f>
        <v>-0.15189999999999998</v>
      </c>
      <c r="R12" s="4">
        <f>($G$2*R$6)+($G$3*distancematrix!O6)</f>
        <v>-0.18401750000000006</v>
      </c>
      <c r="S12" s="4">
        <f>($G$2*S$6)+($G$3*distancematrix!P6)</f>
        <v>-0.75486750000000002</v>
      </c>
      <c r="T12" s="4">
        <f>($G$2*T$6)+($G$3*distancematrix!Q6)</f>
        <v>-0.41558220000000001</v>
      </c>
      <c r="U12" s="4">
        <f>($G$2*U$6)+($G$3*distancematrix!R6)</f>
        <v>-0.28595760000000003</v>
      </c>
      <c r="V12" s="4">
        <f>($G$2*V$6)+($G$3*distancematrix!S6)</f>
        <v>1.2261500000000036E-2</v>
      </c>
      <c r="W12" s="4">
        <f>($G$2*W$6)+($G$3*distancematrix!T6)</f>
        <v>-0.44239130000000004</v>
      </c>
      <c r="X12" s="4">
        <f>($G$2*X$6)+($G$3*distancematrix!U6)</f>
        <v>-0.55422250000000006</v>
      </c>
      <c r="Y12" s="4">
        <f>($G$2*Y$6)+($G$3*distancematrix!V6)</f>
        <v>-0.76100730000000005</v>
      </c>
      <c r="Z12" s="4">
        <f>($G$2*Z$6)+($G$3*distancematrix!W6)</f>
        <v>-0.43939060000000002</v>
      </c>
      <c r="AA12" s="4">
        <f>($G$2*AA$6)+($G$3*distancematrix!X6)</f>
        <v>-0.3430623000000001</v>
      </c>
      <c r="AB12" s="4">
        <f>($G$2*AB$6)+($G$3*distancematrix!Y6)</f>
        <v>-0.42516540000000003</v>
      </c>
      <c r="AC12" s="4">
        <f>($G$2*AC$6)+($G$3*distancematrix!Z6)</f>
        <v>-0.44355020000000012</v>
      </c>
      <c r="AD12" s="4">
        <f>($G$2*AD$6)+($G$3*distancematrix!AA6)</f>
        <v>-0.5626407000000001</v>
      </c>
      <c r="AE12" s="4">
        <f>($G$2*AE$6)+($G$3*distancematrix!AB6)</f>
        <v>-0.11122200000000002</v>
      </c>
      <c r="AF12" s="4">
        <f>($G$2*AF$6)+($G$3*distancematrix!AC6)</f>
        <v>0.48845099999999997</v>
      </c>
    </row>
    <row r="13" spans="1:32" x14ac:dyDescent="0.55000000000000004">
      <c r="A13">
        <v>13</v>
      </c>
      <c r="B13">
        <v>85</v>
      </c>
      <c r="D13" s="3">
        <v>7</v>
      </c>
      <c r="E13" s="4">
        <f>($G$2*E$6)+($G$3*distancematrix!B7)</f>
        <v>0.2045981</v>
      </c>
      <c r="F13" s="4">
        <f>($G$2*F$6)+($G$3*distancematrix!C7)</f>
        <v>-8.5010600000000006E-2</v>
      </c>
      <c r="G13" s="4">
        <f>($G$2*G$6)+($G$3*distancematrix!D7)</f>
        <v>2.9010799999999989E-2</v>
      </c>
      <c r="H13" s="4">
        <f>($G$2*H$6)+($G$3*distancematrix!E7)</f>
        <v>-0.1023411</v>
      </c>
      <c r="I13" s="4">
        <f>($G$2*I$6)+($G$3*distancematrix!F7)</f>
        <v>0.10562889999999998</v>
      </c>
      <c r="J13" s="4">
        <f>($G$2*J$6)+($G$3*distancematrix!G7)</f>
        <v>9.8313475593606453E-3</v>
      </c>
      <c r="K13" s="4">
        <f>($G$2*K$6)+($G$3*distancematrix!H7)</f>
        <v>0.1417001</v>
      </c>
      <c r="L13" s="4">
        <f>($G$2*L$6)+($G$3*distancematrix!I7)</f>
        <v>-0.39642050000000001</v>
      </c>
      <c r="M13" s="4">
        <f>($G$2*M$6)+($G$3*distancematrix!J7)</f>
        <v>0.25388349999999998</v>
      </c>
      <c r="N13" s="4">
        <f>($G$2*N$6)+($G$3*distancematrix!K7)</f>
        <v>-1.4843000000000002E-2</v>
      </c>
      <c r="O13" s="4">
        <f>($G$2*O$6)+($G$3*distancematrix!L7)</f>
        <v>-5.1474000000000103E-3</v>
      </c>
      <c r="P13" s="4">
        <f>($G$2*P$6)+($G$3*distancematrix!M7)</f>
        <v>4.0309099999999987E-2</v>
      </c>
      <c r="Q13" s="4">
        <f>($G$2*Q$6)+($G$3*distancematrix!N7)</f>
        <v>-4.7316299999999992E-2</v>
      </c>
      <c r="R13" s="4">
        <f>($G$2*R$6)+($G$3*distancematrix!O7)</f>
        <v>-7.5861000000000012E-2</v>
      </c>
      <c r="S13" s="4">
        <f>($G$2*S$6)+($G$3*distancematrix!P7)</f>
        <v>-0.66635160000000004</v>
      </c>
      <c r="T13" s="4">
        <f>($G$2*T$6)+($G$3*distancematrix!Q7)</f>
        <v>-0.30640230000000007</v>
      </c>
      <c r="U13" s="4">
        <f>($G$2*U$6)+($G$3*distancematrix!R7)</f>
        <v>-0.20176869999999997</v>
      </c>
      <c r="V13" s="4">
        <f>($G$2*V$6)+($G$3*distancematrix!S7)</f>
        <v>7.9767399999999988E-2</v>
      </c>
      <c r="W13" s="4">
        <f>($G$2*W$6)+($G$3*distancematrix!T7)</f>
        <v>-0.33571210000000007</v>
      </c>
      <c r="X13" s="4">
        <f>($G$2*X$6)+($G$3*distancematrix!U7)</f>
        <v>-0.4632964</v>
      </c>
      <c r="Y13" s="4">
        <f>($G$2*Y$6)+($G$3*distancematrix!V7)</f>
        <v>-0.66191540000000015</v>
      </c>
      <c r="Z13" s="4">
        <f>($G$2*Z$6)+($G$3*distancematrix!W7)</f>
        <v>-0.33534650000000005</v>
      </c>
      <c r="AA13" s="4">
        <f>($G$2*AA$6)+($G$3*distancematrix!X7)</f>
        <v>-0.28702719999999998</v>
      </c>
      <c r="AB13" s="4">
        <f>($G$2*AB$6)+($G$3*distancematrix!Y7)</f>
        <v>-0.3341345</v>
      </c>
      <c r="AC13" s="4">
        <f>($G$2*AC$6)+($G$3*distancematrix!Z7)</f>
        <v>-0.37016550000000004</v>
      </c>
      <c r="AD13" s="4">
        <f>($G$2*AD$6)+($G$3*distancematrix!AA7)</f>
        <v>-0.4507409</v>
      </c>
      <c r="AE13" s="4">
        <f>($G$2*AE$6)+($G$3*distancematrix!AB7)</f>
        <v>-8.5284000000000054E-3</v>
      </c>
      <c r="AF13" s="4">
        <f>($G$2*AF$6)+($G$3*distancematrix!AC7)</f>
        <v>0.49543550000000003</v>
      </c>
    </row>
    <row r="14" spans="1:32" x14ac:dyDescent="0.55000000000000004">
      <c r="A14">
        <v>14</v>
      </c>
      <c r="B14">
        <v>47</v>
      </c>
      <c r="D14" s="3">
        <v>8</v>
      </c>
      <c r="E14" s="4">
        <f>($G$2*E$6)+($G$3*distancematrix!B8)</f>
        <v>0.19951830000000001</v>
      </c>
      <c r="F14" s="4">
        <f>($G$2*F$6)+($G$3*distancematrix!C8)</f>
        <v>-0.15325560000000005</v>
      </c>
      <c r="G14" s="4">
        <f>($G$2*G$6)+($G$3*distancematrix!D8)</f>
        <v>-2.2351300000000004E-2</v>
      </c>
      <c r="H14" s="4">
        <f>($G$2*H$6)+($G$3*distancematrix!E8)</f>
        <v>-0.19947920000000002</v>
      </c>
      <c r="I14" s="4">
        <f>($G$2*I$6)+($G$3*distancematrix!F8)</f>
        <v>0.14452219999999999</v>
      </c>
      <c r="J14" s="4">
        <f>($G$2*J$6)+($G$3*distancematrix!G8)</f>
        <v>-5.0983399999999998E-2</v>
      </c>
      <c r="K14" s="4">
        <f>($G$2*K$6)+($G$3*distancematrix!H8)</f>
        <v>0.213075258985848</v>
      </c>
      <c r="L14" s="4">
        <f>($G$2*L$6)+($G$3*distancematrix!I8)</f>
        <v>-0.48056009999999999</v>
      </c>
      <c r="M14" s="4">
        <f>($G$2*M$6)+($G$3*distancematrix!J8)</f>
        <v>0.29938890000000001</v>
      </c>
      <c r="N14" s="4">
        <f>($G$2*N$6)+($G$3*distancematrix!K8)</f>
        <v>-7.7932600000000019E-2</v>
      </c>
      <c r="O14" s="4">
        <f>($G$2*O$6)+($G$3*distancematrix!L8)</f>
        <v>-3.2018000000000185E-3</v>
      </c>
      <c r="P14" s="4">
        <f>($G$2*P$6)+($G$3*distancematrix!M8)</f>
        <v>3.1546699999999983E-2</v>
      </c>
      <c r="Q14" s="4">
        <f>($G$2*Q$6)+($G$3*distancematrix!N8)</f>
        <v>-0.103473</v>
      </c>
      <c r="R14" s="4">
        <f>($G$2*R$6)+($G$3*distancematrix!O8)</f>
        <v>-0.17266860000000001</v>
      </c>
      <c r="S14" s="4">
        <f>($G$2*S$6)+($G$3*distancematrix!P8)</f>
        <v>-0.68787540000000003</v>
      </c>
      <c r="T14" s="4">
        <f>($G$2*T$6)+($G$3*distancematrix!Q8)</f>
        <v>-0.36925500000000006</v>
      </c>
      <c r="U14" s="4">
        <f>($G$2*U$6)+($G$3*distancematrix!R8)</f>
        <v>-0.22005240000000004</v>
      </c>
      <c r="V14" s="4">
        <f>($G$2*V$6)+($G$3*distancematrix!S8)</f>
        <v>8.4091799999999994E-2</v>
      </c>
      <c r="W14" s="4">
        <f>($G$2*W$6)+($G$3*distancematrix!T8)</f>
        <v>-0.3903856</v>
      </c>
      <c r="X14" s="4">
        <f>($G$2*X$6)+($G$3*distancematrix!U8)</f>
        <v>-0.48912110000000003</v>
      </c>
      <c r="Y14" s="4">
        <f>($G$2*Y$6)+($G$3*distancematrix!V8)</f>
        <v>-0.70016000000000012</v>
      </c>
      <c r="Z14" s="4">
        <f>($G$2*Z$6)+($G$3*distancematrix!W8)</f>
        <v>-0.3834226</v>
      </c>
      <c r="AA14" s="4">
        <f>($G$2*AA$6)+($G$3*distancematrix!X8)</f>
        <v>-0.2690842</v>
      </c>
      <c r="AB14" s="4">
        <f>($G$2*AB$6)+($G$3*distancematrix!Y8)</f>
        <v>-0.36144710000000002</v>
      </c>
      <c r="AC14" s="4">
        <f>($G$2*AC$6)+($G$3*distancematrix!Z8)</f>
        <v>-0.37234250000000002</v>
      </c>
      <c r="AD14" s="4">
        <f>($G$2*AD$6)+($G$3*distancematrix!AA8)</f>
        <v>-0.51973420000000004</v>
      </c>
      <c r="AE14" s="4">
        <f>($G$2*AE$6)+($G$3*distancematrix!AB8)</f>
        <v>-6.4072100000000021E-2</v>
      </c>
      <c r="AF14" s="4">
        <f>($G$2*AF$6)+($G$3*distancematrix!AC8)</f>
        <v>0.56297059999999999</v>
      </c>
    </row>
    <row r="15" spans="1:32" x14ac:dyDescent="0.55000000000000004">
      <c r="A15">
        <v>15</v>
      </c>
      <c r="B15">
        <v>82</v>
      </c>
      <c r="D15" s="3">
        <v>9</v>
      </c>
      <c r="E15" s="4">
        <f>($G$2*E$6)+($G$3*distancematrix!B9)</f>
        <v>-0.20256180000000013</v>
      </c>
      <c r="F15" s="4">
        <f>($G$2*F$6)+($G$3*distancematrix!C9)</f>
        <v>-0.42519689999999999</v>
      </c>
      <c r="G15" s="4">
        <f>($G$2*G$6)+($G$3*distancematrix!D9)</f>
        <v>-0.38128080000000003</v>
      </c>
      <c r="H15" s="4">
        <f>($G$2*H$6)+($G$3*distancematrix!E9)</f>
        <v>-0.29782150000000002</v>
      </c>
      <c r="I15" s="4">
        <f>($G$2*I$6)+($G$3*distancematrix!F9)</f>
        <v>-0.33554240000000013</v>
      </c>
      <c r="J15" s="4">
        <f>($G$2*J$6)+($G$3*distancematrix!G9)</f>
        <v>-0.39114150000000003</v>
      </c>
      <c r="K15" s="4">
        <f>($G$2*K$6)+($G$3*distancematrix!H9)</f>
        <v>-0.2825976</v>
      </c>
      <c r="L15" s="4">
        <f>($G$2*L$6)+($G$3*distancematrix!I9)</f>
        <v>-5.1392354672714559E-2</v>
      </c>
      <c r="M15" s="4">
        <f>($G$2*M$6)+($G$3*distancematrix!J9)</f>
        <v>-0.14881139999999998</v>
      </c>
      <c r="N15" s="4">
        <f>($G$2*N$6)+($G$3*distancematrix!K9)</f>
        <v>-0.35250060000000005</v>
      </c>
      <c r="O15" s="4">
        <f>($G$2*O$6)+($G$3*distancematrix!L9)</f>
        <v>-0.37158099999999999</v>
      </c>
      <c r="P15" s="4">
        <f>($G$2*P$6)+($G$3*distancematrix!M9)</f>
        <v>-0.17089770000000004</v>
      </c>
      <c r="Q15" s="4">
        <f>($G$2*Q$6)+($G$3*distancematrix!N9)</f>
        <v>-0.18610149999999998</v>
      </c>
      <c r="R15" s="4">
        <f>($G$2*R$6)+($G$3*distancematrix!O9)</f>
        <v>3.0930999999999986E-2</v>
      </c>
      <c r="S15" s="4">
        <f>($G$2*S$6)+($G$3*distancematrix!P9)</f>
        <v>-0.45455980000000001</v>
      </c>
      <c r="T15" s="4">
        <f>($G$2*T$6)+($G$3*distancematrix!Q9)</f>
        <v>-0.18362700000000001</v>
      </c>
      <c r="U15" s="4">
        <f>($G$2*U$6)+($G$3*distancematrix!R9)</f>
        <v>-0.2589225</v>
      </c>
      <c r="V15" s="4">
        <f>($G$2*V$6)+($G$3*distancematrix!S9)</f>
        <v>4.0010999999999242E-3</v>
      </c>
      <c r="W15" s="4">
        <f>($G$2*W$6)+($G$3*distancematrix!T9)</f>
        <v>-6.0155800000000009E-2</v>
      </c>
      <c r="X15" s="4">
        <f>($G$2*X$6)+($G$3*distancematrix!U9)</f>
        <v>-0.29573660000000007</v>
      </c>
      <c r="Y15" s="4">
        <f>($G$2*Y$6)+($G$3*distancematrix!V9)</f>
        <v>-0.37115250000000005</v>
      </c>
      <c r="Z15" s="4">
        <f>($G$2*Z$6)+($G$3*distancematrix!W9)</f>
        <v>-2.8442000000000023E-2</v>
      </c>
      <c r="AA15" s="4">
        <f>($G$2*AA$6)+($G$3*distancematrix!X9)</f>
        <v>-0.35412759999999999</v>
      </c>
      <c r="AB15" s="4">
        <f>($G$2*AB$6)+($G$3*distancematrix!Y9)</f>
        <v>-0.27776540000000005</v>
      </c>
      <c r="AC15" s="4">
        <f>($G$2*AC$6)+($G$3*distancematrix!Z9)</f>
        <v>-0.34068010000000004</v>
      </c>
      <c r="AD15" s="4">
        <f>($G$2*AD$6)+($G$3*distancematrix!AA9)</f>
        <v>-5.1534900000000022E-2</v>
      </c>
      <c r="AE15" s="4">
        <f>($G$2*AE$6)+($G$3*distancematrix!AB9)</f>
        <v>-0.23931840000000004</v>
      </c>
      <c r="AF15" s="4">
        <f>($G$2*AF$6)+($G$3*distancematrix!AC9)</f>
        <v>0.11769989999999997</v>
      </c>
    </row>
    <row r="16" spans="1:32" x14ac:dyDescent="0.55000000000000004">
      <c r="A16">
        <v>16</v>
      </c>
      <c r="B16">
        <v>22</v>
      </c>
      <c r="D16" s="3">
        <v>10</v>
      </c>
      <c r="E16" s="4">
        <f>($G$2*E$6)+($G$3*distancematrix!B10)</f>
        <v>0.17072079999999998</v>
      </c>
      <c r="F16" s="4">
        <f>($G$2*F$6)+($G$3*distancematrix!C10)</f>
        <v>-0.16021770000000002</v>
      </c>
      <c r="G16" s="4">
        <f>($G$2*G$6)+($G$3*distancematrix!D10)</f>
        <v>-3.24464E-2</v>
      </c>
      <c r="H16" s="4">
        <f>($G$2*H$6)+($G$3*distancematrix!E10)</f>
        <v>-0.17309080000000004</v>
      </c>
      <c r="I16" s="4">
        <f>($G$2*I$6)+($G$3*distancematrix!F10)</f>
        <v>0.11084569999999998</v>
      </c>
      <c r="J16" s="4">
        <f>($G$2*J$6)+($G$3*distancematrix!G10)</f>
        <v>-3.6461500000000008E-2</v>
      </c>
      <c r="K16" s="4">
        <f>($G$2*K$6)+($G$3*distancematrix!H10)</f>
        <v>0.2017274</v>
      </c>
      <c r="L16" s="4">
        <f>($G$2*L$6)+($G$3*distancematrix!I10)</f>
        <v>-0.44443539999999998</v>
      </c>
      <c r="M16" s="4">
        <f>($G$2*M$6)+($G$3*distancematrix!J10)</f>
        <v>0.31474026095983332</v>
      </c>
      <c r="N16" s="4">
        <f>($G$2*N$6)+($G$3*distancematrix!K10)</f>
        <v>-4.3880800000000011E-2</v>
      </c>
      <c r="O16" s="4">
        <f>($G$2*O$6)+($G$3*distancematrix!L10)</f>
        <v>3.7665799999999985E-2</v>
      </c>
      <c r="P16" s="4">
        <f>($G$2*P$6)+($G$3*distancematrix!M10)</f>
        <v>7.1556499999999967E-2</v>
      </c>
      <c r="Q16" s="4">
        <f>($G$2*Q$6)+($G$3*distancematrix!N10)</f>
        <v>-6.3661599999999999E-2</v>
      </c>
      <c r="R16" s="4">
        <f>($G$2*R$6)+($G$3*distancematrix!O10)</f>
        <v>-0.14391400000000004</v>
      </c>
      <c r="S16" s="4">
        <f>($G$2*S$6)+($G$3*distancematrix!P10)</f>
        <v>-0.64844550000000001</v>
      </c>
      <c r="T16" s="4">
        <f>($G$2*T$6)+($G$3*distancematrix!Q10)</f>
        <v>-0.32927510000000004</v>
      </c>
      <c r="U16" s="4">
        <f>($G$2*U$6)+($G$3*distancematrix!R10)</f>
        <v>-0.1800291</v>
      </c>
      <c r="V16" s="4">
        <f>($G$2*V$6)+($G$3*distancematrix!S10)</f>
        <v>0.12047289999999999</v>
      </c>
      <c r="W16" s="4">
        <f>($G$2*W$6)+($G$3*distancematrix!T10)</f>
        <v>-0.34947269999999997</v>
      </c>
      <c r="X16" s="4">
        <f>($G$2*X$6)+($G$3*distancematrix!U10)</f>
        <v>-0.44902639999999999</v>
      </c>
      <c r="Y16" s="4">
        <f>($G$2*Y$6)+($G$3*distancematrix!V10)</f>
        <v>-0.65932180000000018</v>
      </c>
      <c r="Z16" s="4">
        <f>($G$2*Z$6)+($G$3*distancematrix!W10)</f>
        <v>-0.34231620000000001</v>
      </c>
      <c r="AA16" s="4">
        <f>($G$2*AA$6)+($G$3*distancematrix!X10)</f>
        <v>-0.23635530000000005</v>
      </c>
      <c r="AB16" s="4">
        <f>($G$2*AB$6)+($G$3*distancematrix!Y10)</f>
        <v>-0.32093850000000002</v>
      </c>
      <c r="AC16" s="4">
        <f>($G$2*AC$6)+($G$3*distancematrix!Z10)</f>
        <v>-0.33533610000000003</v>
      </c>
      <c r="AD16" s="4">
        <f>($G$2*AD$6)+($G$3*distancematrix!AA10)</f>
        <v>-0.47997800000000013</v>
      </c>
      <c r="AE16" s="4">
        <f>($G$2*AE$6)+($G$3*distancematrix!AB10)</f>
        <v>-2.5109700000000013E-2</v>
      </c>
      <c r="AF16" s="4">
        <f>($G$2*AF$6)+($G$3*distancematrix!AC10)</f>
        <v>0.58118550000000002</v>
      </c>
    </row>
    <row r="17" spans="1:32" x14ac:dyDescent="0.55000000000000004">
      <c r="A17">
        <v>17</v>
      </c>
      <c r="B17">
        <v>2</v>
      </c>
      <c r="D17" s="3">
        <v>11</v>
      </c>
      <c r="E17" s="4">
        <f>($G$2*E$6)+($G$3*distancematrix!B11)</f>
        <v>0.14239180000000001</v>
      </c>
      <c r="F17" s="4">
        <f>($G$2*F$6)+($G$3*distancematrix!C11)</f>
        <v>-0.13879530000000001</v>
      </c>
      <c r="G17" s="4">
        <f>($G$2*G$6)+($G$3*distancematrix!D11)</f>
        <v>-3.2781600000000008E-2</v>
      </c>
      <c r="H17" s="4">
        <f>($G$2*H$6)+($G$3*distancematrix!E11)</f>
        <v>-8.6500700000000014E-2</v>
      </c>
      <c r="I17" s="4">
        <f>($G$2*I$6)+($G$3*distancematrix!F11)</f>
        <v>5.417039999999998E-2</v>
      </c>
      <c r="J17" s="4">
        <f>($G$2*J$6)+($G$3*distancematrix!G11)</f>
        <v>-1.2203499999999999E-2</v>
      </c>
      <c r="K17" s="4">
        <f>($G$2*K$6)+($G$3*distancematrix!H11)</f>
        <v>0.11739039999999998</v>
      </c>
      <c r="L17" s="4">
        <f>($G$2*L$6)+($G$3*distancematrix!I11)</f>
        <v>-0.35514010000000001</v>
      </c>
      <c r="M17" s="4">
        <f>($G$2*M$6)+($G$3*distancematrix!J11)</f>
        <v>0.24910369999999998</v>
      </c>
      <c r="N17" s="4">
        <f>($G$2*N$6)+($G$3*distancematrix!K11)</f>
        <v>3.0111389559699733E-3</v>
      </c>
      <c r="O17" s="4">
        <f>($G$2*O$6)+($G$3*distancematrix!L11)</f>
        <v>1.8843099999999988E-2</v>
      </c>
      <c r="P17" s="4">
        <f>($G$2*P$6)+($G$3*distancematrix!M11)</f>
        <v>9.8081899999999972E-2</v>
      </c>
      <c r="Q17" s="4">
        <f>($G$2*Q$6)+($G$3*distancematrix!N11)</f>
        <v>1.2485799999999991E-2</v>
      </c>
      <c r="R17" s="4">
        <f>($G$2*R$6)+($G$3*distancematrix!O11)</f>
        <v>-5.3479300000000007E-2</v>
      </c>
      <c r="S17" s="4">
        <f>($G$2*S$6)+($G$3*distancematrix!P11)</f>
        <v>-0.60400850000000006</v>
      </c>
      <c r="T17" s="4">
        <f>($G$2*T$6)+($G$3*distancematrix!Q11)</f>
        <v>-0.25074180000000001</v>
      </c>
      <c r="U17" s="4">
        <f>($G$2*U$6)+($G$3*distancematrix!R11)</f>
        <v>-0.1399454</v>
      </c>
      <c r="V17" s="4">
        <f>($G$2*V$6)+($G$3*distancematrix!S11)</f>
        <v>0.13834220000000003</v>
      </c>
      <c r="W17" s="4">
        <f>($G$2*W$6)+($G$3*distancematrix!T11)</f>
        <v>-0.27782260000000003</v>
      </c>
      <c r="X17" s="4">
        <f>($G$2*X$6)+($G$3*distancematrix!U11)</f>
        <v>-0.40099820000000003</v>
      </c>
      <c r="Y17" s="4">
        <f>($G$2*Y$6)+($G$3*distancematrix!V11)</f>
        <v>-0.60087160000000006</v>
      </c>
      <c r="Z17" s="4">
        <f>($G$2*Z$6)+($G$3*distancematrix!W11)</f>
        <v>-0.27600220000000003</v>
      </c>
      <c r="AA17" s="4">
        <f>($G$2*AA$6)+($G$3*distancematrix!X11)</f>
        <v>-0.23106410000000005</v>
      </c>
      <c r="AB17" s="4">
        <f>($G$2*AB$6)+($G$3*distancematrix!Y11)</f>
        <v>-0.27178940000000001</v>
      </c>
      <c r="AC17" s="4">
        <f>($G$2*AC$6)+($G$3*distancematrix!Z11)</f>
        <v>-0.30946030000000002</v>
      </c>
      <c r="AD17" s="4">
        <f>($G$2*AD$6)+($G$3*distancematrix!AA11)</f>
        <v>-0.39895900000000006</v>
      </c>
      <c r="AE17" s="4">
        <f>($G$2*AE$6)+($G$3*distancematrix!AB11)</f>
        <v>5.2692899999999994E-2</v>
      </c>
      <c r="AF17" s="4">
        <f>($G$2*AF$6)+($G$3*distancematrix!AC11)</f>
        <v>0.50350700000000004</v>
      </c>
    </row>
    <row r="18" spans="1:32" x14ac:dyDescent="0.55000000000000004">
      <c r="A18">
        <v>18</v>
      </c>
      <c r="B18">
        <v>34</v>
      </c>
      <c r="D18" s="3">
        <v>12</v>
      </c>
      <c r="E18" s="4">
        <f>($G$2*E$6)+($G$3*distancematrix!B12)</f>
        <v>0.14230950000000003</v>
      </c>
      <c r="F18" s="4">
        <f>($G$2*F$6)+($G$3*distancematrix!C12)</f>
        <v>-0.16863250000000002</v>
      </c>
      <c r="G18" s="4">
        <f>($G$2*G$6)+($G$3*distancematrix!D12)</f>
        <v>-4.7463300000000028E-2</v>
      </c>
      <c r="H18" s="4">
        <f>($G$2*H$6)+($G$3*distancematrix!E12)</f>
        <v>-0.14675779999999999</v>
      </c>
      <c r="I18" s="4">
        <f>($G$2*I$6)+($G$3*distancematrix!F12)</f>
        <v>7.545389999999999E-2</v>
      </c>
      <c r="J18" s="4">
        <f>($G$2*J$6)+($G$3*distancematrix!G12)</f>
        <v>-3.4181900000000001E-2</v>
      </c>
      <c r="K18" s="4">
        <f>($G$2*K$6)+($G$3*distancematrix!H12)</f>
        <v>0.16044719999999998</v>
      </c>
      <c r="L18" s="4">
        <f>($G$2*L$6)+($G$3*distancematrix!I12)</f>
        <v>-0.40589449999999999</v>
      </c>
      <c r="M18" s="4">
        <f>($G$2*M$6)+($G$3*distancematrix!J12)</f>
        <v>0.29897629999999997</v>
      </c>
      <c r="N18" s="4">
        <f>($G$2*N$6)+($G$3*distancematrix!K12)</f>
        <v>-1.2830900000000006E-2</v>
      </c>
      <c r="O18" s="4">
        <f>($G$2*O$6)+($G$3*distancematrix!L12)</f>
        <v>5.6786460364300607E-2</v>
      </c>
      <c r="P18" s="4">
        <f>($G$2*P$6)+($G$3*distancematrix!M12)</f>
        <v>0.10838639999999999</v>
      </c>
      <c r="Q18" s="4">
        <f>($G$2*Q$6)+($G$3*distancematrix!N12)</f>
        <v>-2.2561099999999987E-2</v>
      </c>
      <c r="R18" s="4">
        <f>($G$2*R$6)+($G$3*distancematrix!O12)</f>
        <v>-0.11277880000000001</v>
      </c>
      <c r="S18" s="4">
        <f>($G$2*S$6)+($G$3*distancematrix!P12)</f>
        <v>-0.61124410000000007</v>
      </c>
      <c r="T18" s="4">
        <f>($G$2*T$6)+($G$3*distancematrix!Q12)</f>
        <v>-0.28797590000000001</v>
      </c>
      <c r="U18" s="4">
        <f>($G$2*U$6)+($G$3*distancematrix!R12)</f>
        <v>-0.14233289999999998</v>
      </c>
      <c r="V18" s="4">
        <f>($G$2*V$6)+($G$3*distancematrix!S12)</f>
        <v>0.15190439999999999</v>
      </c>
      <c r="W18" s="4">
        <f>($G$2*W$6)+($G$3*distancematrix!T12)</f>
        <v>-0.30801259999999997</v>
      </c>
      <c r="X18" s="4">
        <f>($G$2*X$6)+($G$3*distancematrix!U12)</f>
        <v>-0.41076190000000001</v>
      </c>
      <c r="Y18" s="4">
        <f>($G$2*Y$6)+($G$3*distancematrix!V12)</f>
        <v>-0.61939020000000011</v>
      </c>
      <c r="Z18" s="4">
        <f>($G$2*Z$6)+($G$3*distancematrix!W12)</f>
        <v>-0.30128720000000003</v>
      </c>
      <c r="AA18" s="4">
        <f>($G$2*AA$6)+($G$3*distancematrix!X12)</f>
        <v>-0.20978910000000001</v>
      </c>
      <c r="AB18" s="4">
        <f>($G$2*AB$6)+($G$3*distancematrix!Y12)</f>
        <v>-0.28198049999999997</v>
      </c>
      <c r="AC18" s="4">
        <f>($G$2*AC$6)+($G$3*distancematrix!Z12)</f>
        <v>-0.30233949999999998</v>
      </c>
      <c r="AD18" s="4">
        <f>($G$2*AD$6)+($G$3*distancematrix!AA12)</f>
        <v>-0.43874389999999996</v>
      </c>
      <c r="AE18" s="4">
        <f>($G$2*AE$6)+($G$3*distancematrix!AB12)</f>
        <v>1.5034199999999998E-2</v>
      </c>
      <c r="AF18" s="4">
        <f>($G$2*AF$6)+($G$3*distancematrix!AC12)</f>
        <v>0.56363050000000003</v>
      </c>
    </row>
    <row r="19" spans="1:32" x14ac:dyDescent="0.55000000000000004">
      <c r="A19">
        <v>19</v>
      </c>
      <c r="B19">
        <v>162</v>
      </c>
      <c r="D19" s="3">
        <v>13</v>
      </c>
      <c r="E19" s="4">
        <f>($G$2*E$6)+($G$3*distancematrix!B13)</f>
        <v>2.7939599999999953E-2</v>
      </c>
      <c r="F19" s="4">
        <f>($G$2*F$6)+($G$3*distancematrix!C13)</f>
        <v>-0.26504470000000002</v>
      </c>
      <c r="G19" s="4">
        <f>($G$2*G$6)+($G$3*distancematrix!D13)</f>
        <v>-0.15450070000000005</v>
      </c>
      <c r="H19" s="4">
        <f>($G$2*H$6)+($G$3*distancematrix!E13)</f>
        <v>-0.17865880000000001</v>
      </c>
      <c r="I19" s="4">
        <f>($G$2*I$6)+($G$3*distancematrix!F13)</f>
        <v>-4.0270500000000015E-2</v>
      </c>
      <c r="J19" s="4">
        <f>($G$2*J$6)+($G$3*distancematrix!G13)</f>
        <v>-0.13389790000000001</v>
      </c>
      <c r="K19" s="4">
        <f>($G$2*K$6)+($G$3*distancematrix!H13)</f>
        <v>5.002319999999999E-2</v>
      </c>
      <c r="L19" s="4">
        <f>($G$2*L$6)+($G$3*distancematrix!I13)</f>
        <v>-0.35038370000000002</v>
      </c>
      <c r="M19" s="4">
        <f>($G$2*M$6)+($G$3*distancematrix!J13)</f>
        <v>0.18769449999999999</v>
      </c>
      <c r="N19" s="4">
        <f>($G$2*N$6)+($G$3*distancematrix!K13)</f>
        <v>-7.8764600000000018E-2</v>
      </c>
      <c r="O19" s="4">
        <f>($G$2*O$6)+($G$3*distancematrix!L13)</f>
        <v>-3.6786100000000002E-2</v>
      </c>
      <c r="P19" s="4">
        <f>($G$2*P$6)+($G$3*distancematrix!M13)</f>
        <v>0.17133376349357865</v>
      </c>
      <c r="Q19" s="4">
        <f>($G$2*Q$6)+($G$3*distancematrix!N13)</f>
        <v>2.7459200000000003E-2</v>
      </c>
      <c r="R19" s="4">
        <f>($G$2*R$6)+($G$3*distancematrix!O13)</f>
        <v>-0.10437900000000006</v>
      </c>
      <c r="S19" s="4">
        <f>($G$2*S$6)+($G$3*distancematrix!P13)</f>
        <v>-0.49575799999999998</v>
      </c>
      <c r="T19" s="4">
        <f>($G$2*T$6)+($G$3*distancematrix!Q13)</f>
        <v>-0.20920460000000002</v>
      </c>
      <c r="U19" s="4">
        <f>($G$2*U$6)+($G$3*distancematrix!R13)</f>
        <v>-2.7261400000000005E-2</v>
      </c>
      <c r="V19" s="4">
        <f>($G$2*V$6)+($G$3*distancematrix!S13)</f>
        <v>0.26381520000000003</v>
      </c>
      <c r="W19" s="4">
        <f>($G$2*W$6)+($G$3*distancematrix!T13)</f>
        <v>-0.21071980000000004</v>
      </c>
      <c r="X19" s="4">
        <f>($G$2*X$6)+($G$3*distancematrix!U13)</f>
        <v>-0.296321</v>
      </c>
      <c r="Y19" s="4">
        <f>($G$2*Y$6)+($G$3*distancematrix!V13)</f>
        <v>-0.50848800000000005</v>
      </c>
      <c r="Z19" s="4">
        <f>($G$2*Z$6)+($G$3*distancematrix!W13)</f>
        <v>-0.1964683000000001</v>
      </c>
      <c r="AA19" s="4">
        <f>($G$2*AA$6)+($G$3*distancematrix!X13)</f>
        <v>-0.10483460000000006</v>
      </c>
      <c r="AB19" s="4">
        <f>($G$2*AB$6)+($G$3*distancematrix!Y13)</f>
        <v>-0.16899550000000002</v>
      </c>
      <c r="AC19" s="4">
        <f>($G$2*AC$6)+($G$3*distancematrix!Z13)</f>
        <v>-0.1876574</v>
      </c>
      <c r="AD19" s="4">
        <f>($G$2*AD$6)+($G$3*distancematrix!AA13)</f>
        <v>-0.35389530000000002</v>
      </c>
      <c r="AE19" s="4">
        <f>($G$2*AE$6)+($G$3*distancematrix!AB13)</f>
        <v>2.229769999999999E-2</v>
      </c>
      <c r="AF19" s="4">
        <f>($G$2*AF$6)+($G$3*distancematrix!AC13)</f>
        <v>0.4846818</v>
      </c>
    </row>
    <row r="20" spans="1:32" x14ac:dyDescent="0.55000000000000004">
      <c r="A20">
        <v>20</v>
      </c>
      <c r="B20">
        <v>54</v>
      </c>
      <c r="D20" s="3">
        <v>14</v>
      </c>
      <c r="E20" s="4">
        <f>($G$2*E$6)+($G$3*distancematrix!B14)</f>
        <v>3.4268899999999991E-2</v>
      </c>
      <c r="F20" s="4">
        <f>($G$2*F$6)+($G$3*distancematrix!C14)</f>
        <v>-0.22786300000000004</v>
      </c>
      <c r="G20" s="4">
        <f>($G$2*G$6)+($G$3*distancematrix!D14)</f>
        <v>-0.1377681</v>
      </c>
      <c r="H20" s="4">
        <f>($G$2*H$6)+($G$3*distancematrix!E14)</f>
        <v>-0.10364249999999998</v>
      </c>
      <c r="I20" s="4">
        <f>($G$2*I$6)+($G$3*distancematrix!F14)</f>
        <v>-5.6878000000000012E-2</v>
      </c>
      <c r="J20" s="4">
        <f>($G$2*J$6)+($G$3*distancematrix!G14)</f>
        <v>-0.12122229999999999</v>
      </c>
      <c r="K20" s="4">
        <f>($G$2*K$6)+($G$3*distancematrix!H14)</f>
        <v>1.5304499999999999E-2</v>
      </c>
      <c r="L20" s="4">
        <f>($G$2*L$6)+($G$3*distancematrix!I14)</f>
        <v>-0.26528649999999998</v>
      </c>
      <c r="M20" s="4">
        <f>($G$2*M$6)+($G$3*distancematrix!J14)</f>
        <v>0.15277740000000001</v>
      </c>
      <c r="N20" s="4">
        <f>($G$2*N$6)+($G$3*distancematrix!K14)</f>
        <v>-6.4059700000000011E-2</v>
      </c>
      <c r="O20" s="4">
        <f>($G$2*O$6)+($G$3*distancematrix!L14)</f>
        <v>-6.7432599999999995E-2</v>
      </c>
      <c r="P20" s="4">
        <f>($G$2*P$6)+($G$3*distancematrix!M14)</f>
        <v>0.12776019999999999</v>
      </c>
      <c r="Q20" s="4">
        <f>($G$2*Q$6)+($G$3*distancematrix!N14)</f>
        <v>6.9540749088625217E-2</v>
      </c>
      <c r="R20" s="4">
        <f>($G$2*R$6)+($G$3*distancematrix!O14)</f>
        <v>-7.9562000000000244E-3</v>
      </c>
      <c r="S20" s="4">
        <f>($G$2*S$6)+($G$3*distancematrix!P14)</f>
        <v>-0.49998729999999997</v>
      </c>
      <c r="T20" s="4">
        <f>($G$2*T$6)+($G$3*distancematrix!Q14)</f>
        <v>-0.141738</v>
      </c>
      <c r="U20" s="4">
        <f>($G$2*U$6)+($G$3*distancematrix!R14)</f>
        <v>-5.2907000000000023E-2</v>
      </c>
      <c r="V20" s="4">
        <f>($G$2*V$6)+($G$3*distancematrix!S14)</f>
        <v>0.20718140000000002</v>
      </c>
      <c r="W20" s="4">
        <f>($G$2*W$6)+($G$3*distancematrix!T14)</f>
        <v>-0.16643860000000002</v>
      </c>
      <c r="X20" s="4">
        <f>($G$2*X$6)+($G$3*distancematrix!U14)</f>
        <v>-0.29642590000000002</v>
      </c>
      <c r="Y20" s="4">
        <f>($G$2*Y$6)+($G$3*distancematrix!V14)</f>
        <v>-0.49066720000000003</v>
      </c>
      <c r="Z20" s="4">
        <f>($G$2*Z$6)+($G$3*distancematrix!W14)</f>
        <v>-0.1644909</v>
      </c>
      <c r="AA20" s="4">
        <f>($G$2*AA$6)+($G$3*distancematrix!X14)</f>
        <v>-0.16880390000000006</v>
      </c>
      <c r="AB20" s="4">
        <f>($G$2*AB$6)+($G$3*distancematrix!Y14)</f>
        <v>-0.16993659999999999</v>
      </c>
      <c r="AC20" s="4">
        <f>($G$2*AC$6)+($G$3*distancematrix!Z14)</f>
        <v>-0.22396760000000002</v>
      </c>
      <c r="AD20" s="4">
        <f>($G$2*AD$6)+($G$3*distancematrix!AA14)</f>
        <v>-0.29228019999999999</v>
      </c>
      <c r="AE20" s="4">
        <f>($G$2*AE$6)+($G$3*distancematrix!AB14)</f>
        <v>6.2238299999999996E-2</v>
      </c>
      <c r="AF20" s="4">
        <f>($G$2*AF$6)+($G$3*distancematrix!AC14)</f>
        <v>0.42643799999999998</v>
      </c>
    </row>
    <row r="21" spans="1:32" x14ac:dyDescent="0.55000000000000004">
      <c r="A21">
        <v>21</v>
      </c>
      <c r="B21">
        <v>29</v>
      </c>
      <c r="D21" s="3">
        <v>15</v>
      </c>
      <c r="E21" s="4">
        <f>($G$2*E$6)+($G$3*distancematrix!B15)</f>
        <v>-2.7700700000000023E-2</v>
      </c>
      <c r="F21" s="4">
        <f>($G$2*F$6)+($G$3*distancematrix!C15)</f>
        <v>-0.24576910000000007</v>
      </c>
      <c r="G21" s="4">
        <f>($G$2*G$6)+($G$3*distancematrix!D15)</f>
        <v>-0.21448660000000003</v>
      </c>
      <c r="H21" s="4">
        <f>($G$2*H$6)+($G$3*distancematrix!E15)</f>
        <v>-0.14260690000000004</v>
      </c>
      <c r="I21" s="4">
        <f>($G$2*I$6)+($G$3*distancematrix!F15)</f>
        <v>-0.18137800000000007</v>
      </c>
      <c r="J21" s="4">
        <f>($G$2*J$6)+($G$3*distancematrix!G15)</f>
        <v>-0.24214950000000002</v>
      </c>
      <c r="K21" s="4">
        <f>($G$2*K$6)+($G$3*distancematrix!H15)</f>
        <v>-0.1462736</v>
      </c>
      <c r="L21" s="4">
        <f>($G$2*L$6)+($G$3*distancematrix!I15)</f>
        <v>-0.1406365</v>
      </c>
      <c r="M21" s="4">
        <f>($G$2*M$6)+($G$3*distancematrix!J15)</f>
        <v>-1.9857500000000028E-2</v>
      </c>
      <c r="N21" s="4">
        <f>($G$2*N$6)+($G$3*distancematrix!K15)</f>
        <v>-0.2224073</v>
      </c>
      <c r="O21" s="4">
        <f>($G$2*O$6)+($G$3*distancematrix!L15)</f>
        <v>-0.2500328</v>
      </c>
      <c r="P21" s="4">
        <f>($G$2*P$6)+($G$3*distancematrix!M15)</f>
        <v>-9.646050000000006E-2</v>
      </c>
      <c r="Q21" s="4">
        <f>($G$2*Q$6)+($G$3*distancematrix!N15)</f>
        <v>-0.10033870000000002</v>
      </c>
      <c r="R21" s="4">
        <f>($G$2*R$6)+($G$3*distancematrix!O15)</f>
        <v>0.16192324908862521</v>
      </c>
      <c r="S21" s="4">
        <f>($G$2*S$6)+($G$3*distancematrix!P15)</f>
        <v>-0.58390310000000001</v>
      </c>
      <c r="T21" s="4">
        <f>($G$2*T$6)+($G$3*distancematrix!Q15)</f>
        <v>-0.19743949999999999</v>
      </c>
      <c r="U21" s="4">
        <f>($G$2*U$6)+($G$3*distancematrix!R15)</f>
        <v>-0.24416650000000001</v>
      </c>
      <c r="V21" s="4">
        <f>($G$2*V$6)+($G$3*distancematrix!S15)</f>
        <v>8.2823000000000202E-3</v>
      </c>
      <c r="W21" s="4">
        <f>($G$2*W$6)+($G$3*distancematrix!T15)</f>
        <v>-0.1874295</v>
      </c>
      <c r="X21" s="4">
        <f>($G$2*X$6)+($G$3*distancematrix!U15)</f>
        <v>-0.39587319999999998</v>
      </c>
      <c r="Y21" s="4">
        <f>($G$2*Y$6)+($G$3*distancematrix!V15)</f>
        <v>-0.52676730000000016</v>
      </c>
      <c r="Z21" s="4">
        <f>($G$2*Z$6)+($G$3*distancematrix!W15)</f>
        <v>-0.18308990000000003</v>
      </c>
      <c r="AA21" s="4">
        <f>($G$2*AA$6)+($G$3*distancematrix!X15)</f>
        <v>-0.36556760000000005</v>
      </c>
      <c r="AB21" s="4">
        <f>($G$2*AB$6)+($G$3*distancematrix!Y15)</f>
        <v>-0.31253839999999999</v>
      </c>
      <c r="AC21" s="4">
        <f>($G$2*AC$6)+($G$3*distancematrix!Z15)</f>
        <v>-0.38720080000000001</v>
      </c>
      <c r="AD21" s="4">
        <f>($G$2*AD$6)+($G$3*distancematrix!AA15)</f>
        <v>-0.23256970000000002</v>
      </c>
      <c r="AE21" s="4">
        <f>($G$2*AE$6)+($G$3*distancematrix!AB15)</f>
        <v>-0.13120700000000002</v>
      </c>
      <c r="AF21" s="4">
        <f>($G$2*AF$6)+($G$3*distancematrix!AC15)</f>
        <v>0.23448009999999997</v>
      </c>
    </row>
    <row r="22" spans="1:32" x14ac:dyDescent="0.55000000000000004">
      <c r="A22">
        <v>22</v>
      </c>
      <c r="B22">
        <v>30</v>
      </c>
      <c r="D22" s="3">
        <v>16</v>
      </c>
      <c r="E22" s="4">
        <f>($G$2*E$6)+($G$3*distancematrix!B16)</f>
        <v>-0.51953380000000005</v>
      </c>
      <c r="F22" s="4">
        <f>($G$2*F$6)+($G$3*distancematrix!C16)</f>
        <v>-0.78471510000000011</v>
      </c>
      <c r="G22" s="4">
        <f>($G$2*G$6)+($G$3*distancematrix!D16)</f>
        <v>-0.69399869999999997</v>
      </c>
      <c r="H22" s="4">
        <f>($G$2*H$6)+($G$3*distancematrix!E16)</f>
        <v>-0.64644809999999997</v>
      </c>
      <c r="I22" s="4">
        <f>($G$2*I$6)+($G$3*distancematrix!F16)</f>
        <v>-0.59385800000000011</v>
      </c>
      <c r="J22" s="4">
        <f>($G$2*J$6)+($G$3*distancematrix!G16)</f>
        <v>-0.67427010000000009</v>
      </c>
      <c r="K22" s="4">
        <f>($G$2*K$6)+($G$3*distancematrix!H16)</f>
        <v>-0.50311040000000007</v>
      </c>
      <c r="L22" s="4">
        <f>($G$2*L$6)+($G$3*distancematrix!I16)</f>
        <v>-0.46775729999999999</v>
      </c>
      <c r="M22" s="4">
        <f>($G$2*M$6)+($G$3*distancematrix!J16)</f>
        <v>-0.36601900000000004</v>
      </c>
      <c r="N22" s="4">
        <f>($G$2*N$6)+($G$3*distancematrix!K16)</f>
        <v>-0.61456650000000013</v>
      </c>
      <c r="O22" s="4">
        <f>($G$2*O$6)+($G$3*distancematrix!L16)</f>
        <v>-0.59012810000000016</v>
      </c>
      <c r="P22" s="4">
        <f>($G$2*P$6)+($G$3*distancematrix!M16)</f>
        <v>-0.32946949999999997</v>
      </c>
      <c r="Q22" s="4">
        <f>($G$2*Q$6)+($G$3*distancematrix!N16)</f>
        <v>-0.43399979999999994</v>
      </c>
      <c r="R22" s="4">
        <f>($G$2*R$6)+($G$3*distancematrix!O16)</f>
        <v>-0.42553310000000005</v>
      </c>
      <c r="S22" s="4">
        <f>($G$2*S$6)+($G$3*distancematrix!P16)</f>
        <v>-3.9445257341741952E-2</v>
      </c>
      <c r="T22" s="4">
        <f>($G$2*T$6)+($G$3*distancematrix!Q16)</f>
        <v>-0.44905470000000008</v>
      </c>
      <c r="U22" s="4">
        <f>($G$2*U$6)+($G$3*distancematrix!R16)</f>
        <v>-0.3474988</v>
      </c>
      <c r="V22" s="4">
        <f>($G$2*V$6)+($G$3*distancematrix!S16)</f>
        <v>1.534859999999999E-2</v>
      </c>
      <c r="W22" s="4">
        <f>($G$2*W$6)+($G$3*distancematrix!T16)</f>
        <v>-0.17331580000000005</v>
      </c>
      <c r="X22" s="4">
        <f>($G$2*X$6)+($G$3*distancematrix!U16)</f>
        <v>-0.10853950000000002</v>
      </c>
      <c r="Y22" s="4">
        <f>($G$2*Y$6)+($G$3*distancematrix!V16)</f>
        <v>-5.2626100000000023E-2</v>
      </c>
      <c r="Z22" s="4">
        <f>($G$2*Z$6)+($G$3*distancematrix!W16)</f>
        <v>7.2014599999999984E-2</v>
      </c>
      <c r="AA22" s="4">
        <f>($G$2*AA$6)+($G$3*distancematrix!X16)</f>
        <v>-0.23626080000000005</v>
      </c>
      <c r="AB22" s="4">
        <f>($G$2*AB$6)+($G$3*distancematrix!Y16)</f>
        <v>-0.31638240000000001</v>
      </c>
      <c r="AC22" s="4">
        <f>($G$2*AC$6)+($G$3*distancematrix!Z16)</f>
        <v>-0.18756690000000001</v>
      </c>
      <c r="AD22" s="4">
        <f>($G$2*AD$6)+($G$3*distancematrix!AA16)</f>
        <v>-0.24109330000000004</v>
      </c>
      <c r="AE22" s="4">
        <f>($G$2*AE$6)+($G$3*distancematrix!AB16)</f>
        <v>-0.4898826</v>
      </c>
      <c r="AF22" s="4">
        <f>($G$2*AF$6)+($G$3*distancematrix!AC16)</f>
        <v>-6.1960200000000021E-2</v>
      </c>
    </row>
    <row r="23" spans="1:32" x14ac:dyDescent="0.55000000000000004">
      <c r="A23">
        <v>23</v>
      </c>
      <c r="B23">
        <v>108</v>
      </c>
      <c r="D23" s="3">
        <v>17</v>
      </c>
      <c r="E23" s="4">
        <f>($G$2*E$6)+($G$3*distancematrix!B17)</f>
        <v>-0.10008249999999996</v>
      </c>
      <c r="F23" s="4">
        <f>($G$2*F$6)+($G$3*distancematrix!C17)</f>
        <v>-0.34418969999999999</v>
      </c>
      <c r="G23" s="4">
        <f>($G$2*G$6)+($G$3*distancematrix!D17)</f>
        <v>-0.27123659999999999</v>
      </c>
      <c r="H23" s="4">
        <f>($G$2*H$6)+($G$3*distancematrix!E17)</f>
        <v>-0.20024330000000001</v>
      </c>
      <c r="I23" s="4">
        <f>($G$2*I$6)+($G$3*distancematrix!F17)</f>
        <v>-0.20178270000000001</v>
      </c>
      <c r="J23" s="4">
        <f>($G$2*J$6)+($G$3*distancematrix!G17)</f>
        <v>-0.26153080000000006</v>
      </c>
      <c r="K23" s="4">
        <f>($G$2*K$6)+($G$3*distancematrix!H17)</f>
        <v>-0.13170000000000004</v>
      </c>
      <c r="L23" s="4">
        <f>($G$2*L$6)+($G$3*distancematrix!I17)</f>
        <v>-0.14403450000000001</v>
      </c>
      <c r="M23" s="4">
        <f>($G$2*M$6)+($G$3*distancematrix!J17)</f>
        <v>5.9413999999999856E-3</v>
      </c>
      <c r="N23" s="4">
        <f>($G$2*N$6)+($G$3*distancematrix!K17)</f>
        <v>-0.2085098</v>
      </c>
      <c r="O23" s="4">
        <f>($G$2*O$6)+($G$3*distancematrix!L17)</f>
        <v>-0.21406989999999998</v>
      </c>
      <c r="P23" s="4">
        <f>($G$2*P$6)+($G$3*distancematrix!M17)</f>
        <v>9.8738999999999633E-3</v>
      </c>
      <c r="Q23" s="4">
        <f>($G$2*Q$6)+($G$3*distancematrix!N17)</f>
        <v>-2.2960500000000009E-2</v>
      </c>
      <c r="R23" s="4">
        <f>($G$2*R$6)+($G$3*distancematrix!O17)</f>
        <v>1.3720499999999997E-2</v>
      </c>
      <c r="S23" s="4">
        <f>($G$2*S$6)+($G$3*distancematrix!P17)</f>
        <v>-0.39626470000000008</v>
      </c>
      <c r="T23" s="4">
        <f>($G$2*T$6)+($G$3*distancematrix!Q17)</f>
        <v>-8.7840623223392769E-2</v>
      </c>
      <c r="U23" s="4">
        <f>($G$2*U$6)+($G$3*distancematrix!R17)</f>
        <v>-7.1189800000000011E-2</v>
      </c>
      <c r="V23" s="4">
        <f>($G$2*V$6)+($G$3*distancematrix!S17)</f>
        <v>0.18732360000000001</v>
      </c>
      <c r="W23" s="4">
        <f>($G$2*W$6)+($G$3*distancematrix!T17)</f>
        <v>-2.5885700000000039E-2</v>
      </c>
      <c r="X23" s="4">
        <f>($G$2*X$6)+($G$3*distancematrix!U17)</f>
        <v>-0.19936140000000002</v>
      </c>
      <c r="Y23" s="4">
        <f>($G$2*Y$6)+($G$3*distancematrix!V17)</f>
        <v>-0.36343259999999999</v>
      </c>
      <c r="Z23" s="4">
        <f>($G$2*Z$6)+($G$3*distancematrix!W17)</f>
        <v>-2.844680000000005E-2</v>
      </c>
      <c r="AA23" s="4">
        <f>($G$2*AA$6)+($G$3*distancematrix!X17)</f>
        <v>-0.17876400000000003</v>
      </c>
      <c r="AB23" s="4">
        <f>($G$2*AB$6)+($G$3*distancematrix!Y17)</f>
        <v>-0.11213930000000001</v>
      </c>
      <c r="AC23" s="4">
        <f>($G$2*AC$6)+($G$3*distancematrix!Z17)</f>
        <v>-0.186746</v>
      </c>
      <c r="AD23" s="4">
        <f>($G$2*AD$6)+($G$3*distancematrix!AA17)</f>
        <v>-0.14552810000000002</v>
      </c>
      <c r="AE23" s="4">
        <f>($G$2*AE$6)+($G$3*distancematrix!AB17)</f>
        <v>-8.4147899999999998E-2</v>
      </c>
      <c r="AF23" s="4">
        <f>($G$2*AF$6)+($G$3*distancematrix!AC17)</f>
        <v>0.28317290000000001</v>
      </c>
    </row>
    <row r="24" spans="1:32" x14ac:dyDescent="0.55000000000000004">
      <c r="A24">
        <v>24</v>
      </c>
      <c r="B24">
        <v>55</v>
      </c>
      <c r="D24" s="3">
        <v>18</v>
      </c>
      <c r="E24" s="4">
        <f>($G$2*E$6)+($G$3*distancematrix!B18)</f>
        <v>-8.4687200000000018E-2</v>
      </c>
      <c r="F24" s="4">
        <f>($G$2*F$6)+($G$3*distancematrix!C18)</f>
        <v>-0.36382770000000003</v>
      </c>
      <c r="G24" s="4">
        <f>($G$2*G$6)+($G$3*distancematrix!D18)</f>
        <v>-0.26237640000000001</v>
      </c>
      <c r="H24" s="4">
        <f>($G$2*H$6)+($G$3*distancematrix!E18)</f>
        <v>-0.24618099999999998</v>
      </c>
      <c r="I24" s="4">
        <f>($G$2*I$6)+($G$3*distancematrix!F18)</f>
        <v>-0.15662210000000007</v>
      </c>
      <c r="J24" s="4">
        <f>($G$2*J$6)+($G$3*distancematrix!G18)</f>
        <v>-0.2413612</v>
      </c>
      <c r="K24" s="4">
        <f>($G$2*K$6)+($G$3*distancematrix!H18)</f>
        <v>-6.696140000000006E-2</v>
      </c>
      <c r="L24" s="4">
        <f>($G$2*L$6)+($G$3*distancematrix!I18)</f>
        <v>-0.30379400000000001</v>
      </c>
      <c r="M24" s="4">
        <f>($G$2*M$6)+($G$3*distancematrix!J18)</f>
        <v>7.0723399999999992E-2</v>
      </c>
      <c r="N24" s="4">
        <f>($G$2*N$6)+($G$3*distancematrix!K18)</f>
        <v>-0.18217740000000002</v>
      </c>
      <c r="O24" s="4">
        <f>($G$2*O$6)+($G$3*distancematrix!L18)</f>
        <v>-0.1528909</v>
      </c>
      <c r="P24" s="4">
        <f>($G$2*P$6)+($G$3*distancematrix!M18)</f>
        <v>0.10735309999999998</v>
      </c>
      <c r="Q24" s="4">
        <f>($G$2*Q$6)+($G$3*distancematrix!N18)</f>
        <v>-1.8593500000000027E-2</v>
      </c>
      <c r="R24" s="4">
        <f>($G$2*R$6)+($G$3*distancematrix!O18)</f>
        <v>-0.11747050000000003</v>
      </c>
      <c r="S24" s="4">
        <f>($G$2*S$6)+($G$3*distancematrix!P18)</f>
        <v>-0.37917280000000003</v>
      </c>
      <c r="T24" s="4">
        <f>($G$2*T$6)+($G$3*distancematrix!Q18)</f>
        <v>-0.15565380000000001</v>
      </c>
      <c r="U24" s="4">
        <f>($G$2*U$6)+($G$3*distancematrix!R18)</f>
        <v>-2.5964264718641369E-2</v>
      </c>
      <c r="V24" s="4">
        <f>($G$2*V$6)+($G$3*distancematrix!S18)</f>
        <v>0.34218979999999999</v>
      </c>
      <c r="W24" s="4">
        <f>($G$2*W$6)+($G$3*distancematrix!T18)</f>
        <v>-0.11299520000000005</v>
      </c>
      <c r="X24" s="4">
        <f>($G$2*X$6)+($G$3*distancematrix!U18)</f>
        <v>-0.17932570000000003</v>
      </c>
      <c r="Y24" s="4">
        <f>($G$2*Y$6)+($G$3*distancematrix!V18)</f>
        <v>-0.39308980000000004</v>
      </c>
      <c r="Z24" s="4">
        <f>($G$2*Z$6)+($G$3*distancematrix!W18)</f>
        <v>-8.7007400000000068E-2</v>
      </c>
      <c r="AA24" s="4">
        <f>($G$2*AA$6)+($G$3*distancematrix!X18)</f>
        <v>-3.273170000000003E-2</v>
      </c>
      <c r="AB24" s="4">
        <f>($G$2*AB$6)+($G$3*distancematrix!Y18)</f>
        <v>-5.3561700000000004E-2</v>
      </c>
      <c r="AC24" s="4">
        <f>($G$2*AC$6)+($G$3*distancematrix!Z18)</f>
        <v>-8.2368300000000005E-2</v>
      </c>
      <c r="AD24" s="4">
        <f>($G$2*AD$6)+($G$3*distancematrix!AA18)</f>
        <v>-0.26721539999999999</v>
      </c>
      <c r="AE24" s="4">
        <f>($G$2*AE$6)+($G$3*distancematrix!AB18)</f>
        <v>-6.2381799999999987E-2</v>
      </c>
      <c r="AF24" s="4">
        <f>($G$2*AF$6)+($G$3*distancematrix!AC18)</f>
        <v>0.3702146</v>
      </c>
    </row>
    <row r="25" spans="1:32" x14ac:dyDescent="0.55000000000000004">
      <c r="A25">
        <v>25</v>
      </c>
      <c r="B25">
        <v>14</v>
      </c>
      <c r="D25" s="3">
        <v>19</v>
      </c>
      <c r="E25" s="4">
        <f>($G$2*E$6)+($G$3*distancematrix!B19)</f>
        <v>-0.13338450000000002</v>
      </c>
      <c r="F25" s="4">
        <f>($G$2*F$6)+($G$3*distancematrix!C19)</f>
        <v>-0.42785080000000003</v>
      </c>
      <c r="G25" s="4">
        <f>($G$2*G$6)+($G$3*distancematrix!D19)</f>
        <v>-0.31817590000000001</v>
      </c>
      <c r="H25" s="4">
        <f>($G$2*H$6)+($G$3*distancematrix!E19)</f>
        <v>-0.32324780000000003</v>
      </c>
      <c r="I25" s="4">
        <f>($G$2*I$6)+($G$3*distancematrix!F19)</f>
        <v>-0.19625899999999999</v>
      </c>
      <c r="J25" s="4">
        <f>($G$2*J$6)+($G$3*distancematrix!G19)</f>
        <v>-0.29768110000000003</v>
      </c>
      <c r="K25" s="4">
        <f>($G$2*K$6)+($G$3*distancematrix!H19)</f>
        <v>-0.10067320000000002</v>
      </c>
      <c r="L25" s="4">
        <f>($G$2*L$6)+($G$3*distancematrix!I19)</f>
        <v>-0.37872640000000007</v>
      </c>
      <c r="M25" s="4">
        <f>($G$2*M$6)+($G$3*distancematrix!J19)</f>
        <v>3.3369399999999994E-2</v>
      </c>
      <c r="N25" s="4">
        <f>($G$2*N$6)+($G$3*distancematrix!K19)</f>
        <v>-0.24174579999999998</v>
      </c>
      <c r="O25" s="4">
        <f>($G$2*O$6)+($G$3*distancematrix!L19)</f>
        <v>-0.19650960000000001</v>
      </c>
      <c r="P25" s="4">
        <f>($G$2*P$6)+($G$3*distancematrix!M19)</f>
        <v>6.057369999999998E-2</v>
      </c>
      <c r="Q25" s="4">
        <f>($G$2*Q$6)+($G$3*distancematrix!N19)</f>
        <v>-9.6361099999999991E-2</v>
      </c>
      <c r="R25" s="4">
        <f>($G$2*R$6)+($G$3*distancematrix!O19)</f>
        <v>-0.20287769999999999</v>
      </c>
      <c r="S25" s="4">
        <f>($G$2*S$6)+($G$3*distancematrix!P19)</f>
        <v>-0.35418140000000004</v>
      </c>
      <c r="T25" s="4">
        <f>($G$2*T$6)+($G$3*distancematrix!Q19)</f>
        <v>-0.23499639999999999</v>
      </c>
      <c r="U25" s="4">
        <f>($G$2*U$6)+($G$3*distancematrix!R19)</f>
        <v>4.3337999999999988E-3</v>
      </c>
      <c r="V25" s="4">
        <f>($G$2*V$6)+($G$3*distancematrix!S19)</f>
        <v>0.375074010289146</v>
      </c>
      <c r="W25" s="4">
        <f>($G$2*W$6)+($G$3*distancematrix!T19)</f>
        <v>-0.15689060000000002</v>
      </c>
      <c r="X25" s="4">
        <f>($G$2*X$6)+($G$3*distancematrix!U19)</f>
        <v>-0.16967130000000002</v>
      </c>
      <c r="Y25" s="4">
        <f>($G$2*Y$6)+($G$3*distancematrix!V19)</f>
        <v>-0.3913218</v>
      </c>
      <c r="Z25" s="4">
        <f>($G$2*Z$6)+($G$3*distancematrix!W19)</f>
        <v>-0.10623960000000005</v>
      </c>
      <c r="AA25" s="4">
        <f>($G$2*AA$6)+($G$3*distancematrix!X19)</f>
        <v>5.1334699999999969E-2</v>
      </c>
      <c r="AB25" s="4">
        <f>($G$2*AB$6)+($G$3*distancematrix!Y19)</f>
        <v>-8.4461300000000003E-2</v>
      </c>
      <c r="AC25" s="4">
        <f>($G$2*AC$6)+($G$3*distancematrix!Z19)</f>
        <v>-2.92105E-2</v>
      </c>
      <c r="AD25" s="4">
        <f>($G$2*AD$6)+($G$3*distancematrix!AA19)</f>
        <v>-0.3166559000000001</v>
      </c>
      <c r="AE25" s="4">
        <f>($G$2*AE$6)+($G$3*distancematrix!AB19)</f>
        <v>-0.13044020000000001</v>
      </c>
      <c r="AF25" s="4">
        <f>($G$2*AF$6)+($G$3*distancematrix!AC19)</f>
        <v>0.3452209</v>
      </c>
    </row>
    <row r="26" spans="1:32" x14ac:dyDescent="0.55000000000000004">
      <c r="A26">
        <v>26</v>
      </c>
      <c r="B26">
        <v>38</v>
      </c>
      <c r="D26" s="3">
        <v>20</v>
      </c>
      <c r="E26" s="4">
        <f>($G$2*E$6)+($G$3*distancematrix!B20)</f>
        <v>-0.26832660000000008</v>
      </c>
      <c r="F26" s="4">
        <f>($G$2*F$6)+($G$3*distancematrix!C20)</f>
        <v>-0.51160870000000003</v>
      </c>
      <c r="G26" s="4">
        <f>($G$2*G$6)+($G$3*distancematrix!D20)</f>
        <v>-0.43942120000000001</v>
      </c>
      <c r="H26" s="4">
        <f>($G$2*H$6)+($G$3*distancematrix!E20)</f>
        <v>-0.36742620000000004</v>
      </c>
      <c r="I26" s="4">
        <f>($G$2*I$6)+($G$3*distancematrix!F20)</f>
        <v>-0.36584580000000011</v>
      </c>
      <c r="J26" s="4">
        <f>($G$2*J$6)+($G$3*distancematrix!G20)</f>
        <v>-0.42809460000000005</v>
      </c>
      <c r="K26" s="4">
        <f>($G$2*K$6)+($G$3*distancematrix!H20)</f>
        <v>-0.29008460000000003</v>
      </c>
      <c r="L26" s="4">
        <f>($G$2*L$6)+($G$3*distancematrix!I20)</f>
        <v>-0.15781729999999999</v>
      </c>
      <c r="M26" s="4">
        <f>($G$2*M$6)+($G$3*distancematrix!J20)</f>
        <v>-0.15151019999999998</v>
      </c>
      <c r="N26" s="4">
        <f>($G$2*N$6)+($G$3*distancematrix!K20)</f>
        <v>-0.37284459999999997</v>
      </c>
      <c r="O26" s="4">
        <f>($G$2*O$6)+($G$3*distancematrix!L20)</f>
        <v>-0.37136059999999999</v>
      </c>
      <c r="P26" s="4">
        <f>($G$2*P$6)+($G$3*distancematrix!M20)</f>
        <v>-0.12889530000000005</v>
      </c>
      <c r="Q26" s="4">
        <f>($G$2*Q$6)+($G$3*distancematrix!N20)</f>
        <v>-0.1849151</v>
      </c>
      <c r="R26" s="4">
        <f>($G$2*R$6)+($G$3*distancematrix!O20)</f>
        <v>-0.1135235</v>
      </c>
      <c r="S26" s="4">
        <f>($G$2*S$6)+($G$3*distancematrix!P20)</f>
        <v>-0.25777980000000006</v>
      </c>
      <c r="T26" s="4">
        <f>($G$2*T$6)+($G$3*distancematrix!Q20)</f>
        <v>-0.16313970000000003</v>
      </c>
      <c r="U26" s="4">
        <f>($G$2*U$6)+($G$3*distancematrix!R20)</f>
        <v>-0.16578520000000002</v>
      </c>
      <c r="V26" s="4">
        <f>($G$2*V$6)+($G$3*distancematrix!S20)</f>
        <v>0.12817539999999999</v>
      </c>
      <c r="W26" s="4">
        <f>($G$2*W$6)+($G$3*distancematrix!T20)</f>
        <v>8.8796170836185587E-2</v>
      </c>
      <c r="X26" s="4">
        <f>($G$2*X$6)+($G$3*distancematrix!U20)</f>
        <v>-9.4767100000000007E-2</v>
      </c>
      <c r="Y26" s="4">
        <f>($G$2*Y$6)+($G$3*distancematrix!V20)</f>
        <v>-0.20018380000000002</v>
      </c>
      <c r="Z26" s="4">
        <f>($G$2*Z$6)+($G$3*distancematrix!W20)</f>
        <v>0.13924639999999996</v>
      </c>
      <c r="AA26" s="4">
        <f>($G$2*AA$6)+($G$3*distancematrix!X20)</f>
        <v>-0.20336990000000005</v>
      </c>
      <c r="AB26" s="4">
        <f>($G$2*AB$6)+($G$3*distancematrix!Y20)</f>
        <v>-0.14146710000000001</v>
      </c>
      <c r="AC26" s="4">
        <f>($G$2*AC$6)+($G$3*distancematrix!Z20)</f>
        <v>-0.16677730000000004</v>
      </c>
      <c r="AD26" s="4">
        <f>($G$2*AD$6)+($G$3*distancematrix!AA20)</f>
        <v>-1.7618900000000021E-2</v>
      </c>
      <c r="AE26" s="4">
        <f>($G$2*AE$6)+($G$3*distancematrix!AB20)</f>
        <v>-0.24670640000000005</v>
      </c>
      <c r="AF26" s="4">
        <f>($G$2*AF$6)+($G$3*distancematrix!AC20)</f>
        <v>0.13352579999999997</v>
      </c>
    </row>
    <row r="27" spans="1:32" x14ac:dyDescent="0.55000000000000004">
      <c r="A27">
        <v>27</v>
      </c>
      <c r="B27">
        <v>51</v>
      </c>
      <c r="D27" s="3">
        <v>21</v>
      </c>
      <c r="E27" s="4">
        <f>($G$2*E$6)+($G$3*distancematrix!B21)</f>
        <v>-0.33513289999999996</v>
      </c>
      <c r="F27" s="4">
        <f>($G$2*F$6)+($G$3*distancematrix!C21)</f>
        <v>-0.59981110000000004</v>
      </c>
      <c r="G27" s="4">
        <f>($G$2*G$6)+($G$3*distancematrix!D21)</f>
        <v>-0.5091466</v>
      </c>
      <c r="H27" s="4">
        <f>($G$2*H$6)+($G$3*distancematrix!E21)</f>
        <v>-0.46263170000000003</v>
      </c>
      <c r="I27" s="4">
        <f>($G$2*I$6)+($G$3*distancematrix!F21)</f>
        <v>-0.41168950000000015</v>
      </c>
      <c r="J27" s="4">
        <f>($G$2*J$6)+($G$3*distancematrix!G21)</f>
        <v>-0.4896914</v>
      </c>
      <c r="K27" s="4">
        <f>($G$2*K$6)+($G$3*distancematrix!H21)</f>
        <v>-0.32283260000000003</v>
      </c>
      <c r="L27" s="4">
        <f>($G$2*L$6)+($G$3*distancematrix!I21)</f>
        <v>-0.32741060000000005</v>
      </c>
      <c r="M27" s="4">
        <f>($G$2*M$6)+($G$3*distancematrix!J21)</f>
        <v>-0.18507639999999997</v>
      </c>
      <c r="N27" s="4">
        <f>($G$2*N$6)+($G$3*distancematrix!K21)</f>
        <v>-0.43003270000000005</v>
      </c>
      <c r="O27" s="4">
        <f>($G$2*O$6)+($G$3*distancematrix!L21)</f>
        <v>-0.4081224</v>
      </c>
      <c r="P27" s="4">
        <f>($G$2*P$6)+($G$3*distancematrix!M21)</f>
        <v>-0.148509</v>
      </c>
      <c r="Q27" s="4">
        <f>($G$2*Q$6)+($G$3*distancematrix!N21)</f>
        <v>-0.24891489999999999</v>
      </c>
      <c r="R27" s="4">
        <f>($G$2*R$6)+($G$3*distancematrix!O21)</f>
        <v>-0.25597969999999998</v>
      </c>
      <c r="S27" s="4">
        <f>($G$2*S$6)+($G$3*distancematrix!P21)</f>
        <v>-0.12701600000000002</v>
      </c>
      <c r="T27" s="4">
        <f>($G$2*T$6)+($G$3*distancematrix!Q21)</f>
        <v>-0.27062790000000003</v>
      </c>
      <c r="U27" s="4">
        <f>($G$2*U$6)+($G$3*distancematrix!R21)</f>
        <v>-0.1661282</v>
      </c>
      <c r="V27" s="4">
        <f>($G$2*V$6)+($G$3*distancematrix!S21)</f>
        <v>0.18138219999999999</v>
      </c>
      <c r="W27" s="4">
        <f>($G$2*W$6)+($G$3*distancematrix!T21)</f>
        <v>-2.8779600000000016E-2</v>
      </c>
      <c r="X27" s="4">
        <f>($G$2*X$6)+($G$3*distancematrix!U21)</f>
        <v>-1.9906731487761703E-2</v>
      </c>
      <c r="Y27" s="4">
        <f>($G$2*Y$6)+($G$3*distancematrix!V21)</f>
        <v>-0.14514120000000003</v>
      </c>
      <c r="Z27" s="4">
        <f>($G$2*Z$6)+($G$3*distancematrix!W21)</f>
        <v>0.11658789999999997</v>
      </c>
      <c r="AA27" s="4">
        <f>($G$2*AA$6)+($G$3*distancematrix!X21)</f>
        <v>-0.10147950000000003</v>
      </c>
      <c r="AB27" s="4">
        <f>($G$2*AB$6)+($G$3*distancematrix!Y21)</f>
        <v>-0.13215300000000002</v>
      </c>
      <c r="AC27" s="4">
        <f>($G$2*AC$6)+($G$3*distancematrix!Z21)</f>
        <v>-4.5257600000000009E-2</v>
      </c>
      <c r="AD27" s="4">
        <f>($G$2*AD$6)+($G$3*distancematrix!AA21)</f>
        <v>-0.15837110000000001</v>
      </c>
      <c r="AE27" s="4">
        <f>($G$2*AE$6)+($G$3*distancematrix!AB21)</f>
        <v>-0.30501549999999999</v>
      </c>
      <c r="AF27" s="4">
        <f>($G$2*AF$6)+($G$3*distancematrix!AC21)</f>
        <v>0.11559730000000001</v>
      </c>
    </row>
    <row r="28" spans="1:32" x14ac:dyDescent="0.55000000000000004">
      <c r="A28">
        <v>28</v>
      </c>
      <c r="B28">
        <v>43</v>
      </c>
      <c r="D28" s="3">
        <v>22</v>
      </c>
      <c r="E28" s="4">
        <f>($G$2*E$6)+($G$3*distancematrix!B22)</f>
        <v>-0.53542879999999993</v>
      </c>
      <c r="F28" s="4">
        <f>($G$2*F$6)+($G$3*distancematrix!C22)</f>
        <v>-0.78634209999999993</v>
      </c>
      <c r="G28" s="4">
        <f>($G$2*G$6)+($G$3*distancematrix!D22)</f>
        <v>-0.70695659999999994</v>
      </c>
      <c r="H28" s="4">
        <f>($G$2*H$6)+($G$3*distancematrix!E22)</f>
        <v>-0.64276519999999993</v>
      </c>
      <c r="I28" s="4">
        <f>($G$2*I$6)+($G$3*distancematrix!F22)</f>
        <v>-0.62111380000000005</v>
      </c>
      <c r="J28" s="4">
        <f>($G$2*J$6)+($G$3*distancematrix!G22)</f>
        <v>-0.69094990000000012</v>
      </c>
      <c r="K28" s="4">
        <f>($G$2*K$6)+($G$3*distancematrix!H22)</f>
        <v>-0.53651100000000007</v>
      </c>
      <c r="L28" s="4">
        <f>($G$2*L$6)+($G$3*distancematrix!I22)</f>
        <v>-0.40546600000000005</v>
      </c>
      <c r="M28" s="4">
        <f>($G$2*M$6)+($G$3*distancematrix!J22)</f>
        <v>-0.39801130000000012</v>
      </c>
      <c r="N28" s="4">
        <f>($G$2*N$6)+($G$3*distancematrix!K22)</f>
        <v>-0.63254560000000004</v>
      </c>
      <c r="O28" s="4">
        <f>($G$2*O$6)+($G$3*distancematrix!L22)</f>
        <v>-0.61939020000000011</v>
      </c>
      <c r="P28" s="4">
        <f>($G$2*P$6)+($G$3*distancematrix!M22)</f>
        <v>-0.36331550000000001</v>
      </c>
      <c r="Q28" s="4">
        <f>($G$2*Q$6)+($G$3*distancematrix!N22)</f>
        <v>-0.44579570000000002</v>
      </c>
      <c r="R28" s="4">
        <f>($G$2*R$6)+($G$3*distancematrix!O22)</f>
        <v>-0.38951330000000012</v>
      </c>
      <c r="S28" s="4">
        <f>($G$2*S$6)+($G$3*distancematrix!P22)</f>
        <v>-7.3742100000000019E-2</v>
      </c>
      <c r="T28" s="4">
        <f>($G$2*T$6)+($G$3*distancematrix!Q22)</f>
        <v>-0.43733860000000002</v>
      </c>
      <c r="U28" s="4">
        <f>($G$2*U$6)+($G$3*distancematrix!R22)</f>
        <v>-0.38253180000000003</v>
      </c>
      <c r="V28" s="4">
        <f>($G$2*V$6)+($G$3*distancematrix!S22)</f>
        <v>-4.2907799999999996E-2</v>
      </c>
      <c r="W28" s="4">
        <f>($G$2*W$6)+($G$3*distancematrix!T22)</f>
        <v>-0.13683580000000004</v>
      </c>
      <c r="X28" s="4">
        <f>($G$2*X$6)+($G$3*distancematrix!U22)</f>
        <v>-0.14778070000000004</v>
      </c>
      <c r="Y28" s="4">
        <f>($G$2*Y$6)+($G$3*distancematrix!V22)</f>
        <v>-1.4795623958161641E-2</v>
      </c>
      <c r="Z28" s="4">
        <f>($G$2*Z$6)+($G$3*distancematrix!W22)</f>
        <v>0.1467918</v>
      </c>
      <c r="AA28" s="4">
        <f>($G$2*AA$6)+($G$3*distancematrix!X22)</f>
        <v>-0.31828730000000011</v>
      </c>
      <c r="AB28" s="4">
        <f>($G$2*AB$6)+($G$3*distancematrix!Y22)</f>
        <v>-0.34502940000000004</v>
      </c>
      <c r="AC28" s="4">
        <f>($G$2*AC$6)+($G$3*distancematrix!Z22)</f>
        <v>-0.26222960000000006</v>
      </c>
      <c r="AD28" s="4">
        <f>($G$2*AD$6)+($G$3*distancematrix!AA22)</f>
        <v>-0.15013070000000003</v>
      </c>
      <c r="AE28" s="4">
        <f>($G$2*AE$6)+($G$3*distancematrix!AB22)</f>
        <v>-0.5058608</v>
      </c>
      <c r="AF28" s="4">
        <f>($G$2*AF$6)+($G$3*distancematrix!AC22)</f>
        <v>-0.10198300000000005</v>
      </c>
    </row>
    <row r="29" spans="1:32" x14ac:dyDescent="0.55000000000000004">
      <c r="A29">
        <v>29</v>
      </c>
      <c r="B29">
        <v>238</v>
      </c>
      <c r="D29" s="3">
        <v>23</v>
      </c>
      <c r="E29" s="4">
        <f>($G$2*E$6)+($G$3*distancematrix!B23)</f>
        <v>-0.41230080000000002</v>
      </c>
      <c r="F29" s="4">
        <f>($G$2*F$6)+($G$3*distancematrix!C23)</f>
        <v>-0.65731200000000001</v>
      </c>
      <c r="G29" s="4">
        <f>($G$2*G$6)+($G$3*distancematrix!D23)</f>
        <v>-0.58337119999999998</v>
      </c>
      <c r="H29" s="4">
        <f>($G$2*H$6)+($G$3*distancematrix!E23)</f>
        <v>-0.51313960000000003</v>
      </c>
      <c r="I29" s="4">
        <f>($G$2*I$6)+($G$3*distancematrix!F23)</f>
        <v>-0.50537810000000005</v>
      </c>
      <c r="J29" s="4">
        <f>($G$2*J$6)+($G$3*distancematrix!G23)</f>
        <v>-0.57026200000000005</v>
      </c>
      <c r="K29" s="4">
        <f>($G$2*K$6)+($G$3*distancematrix!H23)</f>
        <v>-0.42565459999999999</v>
      </c>
      <c r="L29" s="4">
        <f>($G$2*L$6)+($G$3*distancematrix!I23)</f>
        <v>-0.2686365</v>
      </c>
      <c r="M29" s="4">
        <f>($G$2*M$6)+($G$3*distancematrix!J23)</f>
        <v>-0.28688669999999999</v>
      </c>
      <c r="N29" s="4">
        <f>($G$2*N$6)+($G$3*distancematrix!K23)</f>
        <v>-0.51355720000000005</v>
      </c>
      <c r="O29" s="4">
        <f>($G$2*O$6)+($G$3*distancematrix!L23)</f>
        <v>-0.50716820000000007</v>
      </c>
      <c r="P29" s="4">
        <f>($G$2*P$6)+($G$3*distancematrix!M23)</f>
        <v>-0.25717680000000009</v>
      </c>
      <c r="Q29" s="4">
        <f>($G$2*Q$6)+($G$3*distancematrix!N23)</f>
        <v>-0.32550039999999997</v>
      </c>
      <c r="R29" s="4">
        <f>($G$2*R$6)+($G$3*distancematrix!O23)</f>
        <v>-0.25171690000000002</v>
      </c>
      <c r="S29" s="4">
        <f>($G$2*S$6)+($G$3*distancematrix!P23)</f>
        <v>-0.15498240000000002</v>
      </c>
      <c r="T29" s="4">
        <f>($G$2*T$6)+($G$3*distancematrix!Q23)</f>
        <v>-0.30823380000000006</v>
      </c>
      <c r="U29" s="4">
        <f>($G$2*U$6)+($G$3*distancematrix!R23)</f>
        <v>-0.28233040000000004</v>
      </c>
      <c r="V29" s="4">
        <f>($G$2*V$6)+($G$3*distancematrix!S23)</f>
        <v>3.6293399999999976E-2</v>
      </c>
      <c r="W29" s="4">
        <f>($G$2*W$6)+($G$3*distancematrix!T23)</f>
        <v>-3.2866000000000284E-3</v>
      </c>
      <c r="X29" s="4">
        <f>($G$2*X$6)+($G$3*distancematrix!U23)</f>
        <v>-9.1932600000000017E-2</v>
      </c>
      <c r="Y29" s="4">
        <f>($G$2*Y$6)+($G$3*distancematrix!V23)</f>
        <v>-5.9089199999999995E-2</v>
      </c>
      <c r="Z29" s="4">
        <f>($G$2*Z$6)+($G$3*distancematrix!W23)</f>
        <v>0.19365609142562518</v>
      </c>
      <c r="AA29" s="4">
        <f>($G$2*AA$6)+($G$3*distancematrix!X23)</f>
        <v>-0.26532730000000004</v>
      </c>
      <c r="AB29" s="4">
        <f>($G$2*AB$6)+($G$3*distancematrix!Y23)</f>
        <v>-0.24622089999999996</v>
      </c>
      <c r="AC29" s="4">
        <f>($G$2*AC$6)+($G$3*distancematrix!Z23)</f>
        <v>-0.21122539999999998</v>
      </c>
      <c r="AD29" s="4">
        <f>($G$2*AD$6)+($G$3*distancematrix!AA23)</f>
        <v>-2.8056900000000023E-2</v>
      </c>
      <c r="AE29" s="4">
        <f>($G$2*AE$6)+($G$3*distancematrix!AB23)</f>
        <v>-0.38687530000000009</v>
      </c>
      <c r="AF29" s="4">
        <f>($G$2*AF$6)+($G$3*distancematrix!AC23)</f>
        <v>3.2133999999999219E-3</v>
      </c>
    </row>
    <row r="30" spans="1:32" x14ac:dyDescent="0.55000000000000004">
      <c r="D30" s="3">
        <v>24</v>
      </c>
      <c r="E30" s="4">
        <f>($G$2*E$6)+($G$3*distancematrix!B24)</f>
        <v>-0.21064780000000005</v>
      </c>
      <c r="F30" s="4">
        <f>($G$2*F$6)+($G$3*distancematrix!C24)</f>
        <v>-0.5148820999999999</v>
      </c>
      <c r="G30" s="4">
        <f>($G$2*G$6)+($G$3*distancematrix!D24)</f>
        <v>-0.40112010000000003</v>
      </c>
      <c r="H30" s="4">
        <f>($G$2*H$6)+($G$3*distancematrix!E24)</f>
        <v>-0.41632010000000008</v>
      </c>
      <c r="I30" s="4">
        <f>($G$2*I$6)+($G$3*distancematrix!F24)</f>
        <v>-0.26915630000000013</v>
      </c>
      <c r="J30" s="4">
        <f>($G$2*J$6)+($G$3*distancematrix!G24)</f>
        <v>-0.38204919999999998</v>
      </c>
      <c r="K30" s="4">
        <f>($G$2*K$6)+($G$3*distancematrix!H24)</f>
        <v>-0.17142269999999998</v>
      </c>
      <c r="L30" s="4">
        <f>($G$2*L$6)+($G$3*distancematrix!I24)</f>
        <v>-0.45442859999999996</v>
      </c>
      <c r="M30" s="4">
        <f>($G$2*M$6)+($G$3*distancematrix!J24)</f>
        <v>-4.1032300000000022E-2</v>
      </c>
      <c r="N30" s="4">
        <f>($G$2*N$6)+($G$3*distancematrix!K24)</f>
        <v>-0.32872560000000006</v>
      </c>
      <c r="O30" s="4">
        <f>($G$2*O$6)+($G$3*distancematrix!L24)</f>
        <v>-0.27577659999999998</v>
      </c>
      <c r="P30" s="4">
        <f>($G$2*P$6)+($G$3*distancematrix!M24)</f>
        <v>-2.564960000000005E-2</v>
      </c>
      <c r="Q30" s="4">
        <f>($G$2*Q$6)+($G$3*distancematrix!N24)</f>
        <v>-0.18991990000000003</v>
      </c>
      <c r="R30" s="4">
        <f>($G$2*R$6)+($G$3*distancematrix!O24)</f>
        <v>-0.29430110000000004</v>
      </c>
      <c r="S30" s="4">
        <f>($G$2*S$6)+($G$3*distancematrix!P24)</f>
        <v>-0.32336430000000005</v>
      </c>
      <c r="T30" s="4">
        <f>($G$2*T$6)+($G$3*distancematrix!Q24)</f>
        <v>-0.31865750000000004</v>
      </c>
      <c r="U30" s="4">
        <f>($G$2*U$6)+($G$3*distancematrix!R24)</f>
        <v>-8.8161200000000009E-2</v>
      </c>
      <c r="V30" s="4">
        <f>($G$2*V$6)+($G$3*distancematrix!S24)</f>
        <v>0.33376119999999998</v>
      </c>
      <c r="W30" s="4">
        <f>($G$2*W$6)+($G$3*distancematrix!T24)</f>
        <v>-0.20600940000000004</v>
      </c>
      <c r="X30" s="4">
        <f>($G$2*X$6)+($G$3*distancematrix!U24)</f>
        <v>-0.17010649999999999</v>
      </c>
      <c r="Y30" s="4">
        <f>($G$2*Y$6)+($G$3*distancematrix!V24)</f>
        <v>-0.38427480000000008</v>
      </c>
      <c r="Z30" s="4">
        <f>($G$2*Z$6)+($G$3*distancematrix!W24)</f>
        <v>-0.12543380000000004</v>
      </c>
      <c r="AA30" s="4">
        <f>($G$2*AA$6)+($G$3*distancematrix!X24)</f>
        <v>6.1783924438821886E-2</v>
      </c>
      <c r="AB30" s="4">
        <f>($G$2*AB$6)+($G$3*distancematrix!Y24)</f>
        <v>-0.14793060000000002</v>
      </c>
      <c r="AC30" s="4">
        <f>($G$2*AC$6)+($G$3*distancematrix!Z24)</f>
        <v>-1.2486000000000025E-3</v>
      </c>
      <c r="AD30" s="4">
        <f>($G$2*AD$6)+($G$3*distancematrix!AA24)</f>
        <v>-0.36479590000000006</v>
      </c>
      <c r="AE30" s="4">
        <f>($G$2*AE$6)+($G$3*distancematrix!AB24)</f>
        <v>-0.22145930000000003</v>
      </c>
      <c r="AF30" s="4">
        <f>($G$2*AF$6)+($G$3*distancematrix!AC24)</f>
        <v>0.27790739999999997</v>
      </c>
    </row>
    <row r="31" spans="1:32" x14ac:dyDescent="0.55000000000000004">
      <c r="D31" s="3">
        <v>25</v>
      </c>
      <c r="E31" s="4">
        <f>($G$2*E$6)+($G$3*distancematrix!B25)</f>
        <v>-0.16622970000000004</v>
      </c>
      <c r="F31" s="4">
        <f>($G$2*F$6)+($G$3*distancematrix!C25)</f>
        <v>-0.43475230000000009</v>
      </c>
      <c r="G31" s="4">
        <f>($G$2*G$6)+($G$3*distancematrix!D25)</f>
        <v>-0.3408215</v>
      </c>
      <c r="H31" s="4">
        <f>($G$2*H$6)+($G$3*distancematrix!E25)</f>
        <v>-0.30324460000000003</v>
      </c>
      <c r="I31" s="4">
        <f>($G$2*I$6)+($G$3*distancematrix!F25)</f>
        <v>-0.24303990000000006</v>
      </c>
      <c r="J31" s="4">
        <f>($G$2*J$6)+($G$3*distancematrix!G25)</f>
        <v>-0.32093700000000003</v>
      </c>
      <c r="K31" s="4">
        <f>($G$2*K$6)+($G$3*distancematrix!H25)</f>
        <v>-0.15556610000000004</v>
      </c>
      <c r="L31" s="4">
        <f>($G$2*L$6)+($G$3*distancematrix!I25)</f>
        <v>-0.26984690000000006</v>
      </c>
      <c r="M31" s="4">
        <f>($G$2*M$6)+($G$3*distancematrix!J25)</f>
        <v>-1.7396000000000023E-2</v>
      </c>
      <c r="N31" s="4">
        <f>($G$2*N$6)+($G$3*distancematrix!K25)</f>
        <v>-0.2612314</v>
      </c>
      <c r="O31" s="4">
        <f>($G$2*O$6)+($G$3*distancematrix!L25)</f>
        <v>-0.23974849999999998</v>
      </c>
      <c r="P31" s="4">
        <f>($G$2*P$6)+($G$3*distancematrix!M25)</f>
        <v>1.8408999999999981E-2</v>
      </c>
      <c r="Q31" s="4">
        <f>($G$2*Q$6)+($G$3*distancematrix!N25)</f>
        <v>-8.2833100000000007E-2</v>
      </c>
      <c r="R31" s="4">
        <f>($G$2*R$6)+($G$3*distancematrix!O25)</f>
        <v>-0.13305240000000002</v>
      </c>
      <c r="S31" s="4">
        <f>($G$2*S$6)+($G$3*distancematrix!P25)</f>
        <v>-0.29526640000000004</v>
      </c>
      <c r="T31" s="4">
        <f>($G$2*T$6)+($G$3*distancematrix!Q25)</f>
        <v>-0.14381330000000001</v>
      </c>
      <c r="U31" s="4">
        <f>($G$2*U$6)+($G$3*distancematrix!R25)</f>
        <v>-7.7170000000000016E-4</v>
      </c>
      <c r="V31" s="4">
        <f>($G$2*V$6)+($G$3*distancematrix!S25)</f>
        <v>0.30618469999999998</v>
      </c>
      <c r="W31" s="4">
        <f>($G$2*W$6)+($G$3*distancematrix!T25)</f>
        <v>-3.5887100000000005E-2</v>
      </c>
      <c r="X31" s="4">
        <f>($G$2*X$6)+($G$3*distancematrix!U25)</f>
        <v>-9.2560500000000004E-2</v>
      </c>
      <c r="Y31" s="4">
        <f>($G$2*Y$6)+($G$3*distancematrix!V25)</f>
        <v>-0.30279740000000005</v>
      </c>
      <c r="Z31" s="4">
        <f>($G$2*Z$6)+($G$3*distancematrix!W25)</f>
        <v>1.8921000000000077E-3</v>
      </c>
      <c r="AA31" s="4">
        <f>($G$2*AA$6)+($G$3*distancematrix!X25)</f>
        <v>-3.9711100000000027E-2</v>
      </c>
      <c r="AB31" s="4">
        <f>($G$2*AB$6)+($G$3*distancematrix!Y25)</f>
        <v>3.3105474245280486E-4</v>
      </c>
      <c r="AC31" s="4">
        <f>($G$2*AC$6)+($G$3*distancematrix!Z25)</f>
        <v>-3.7868399999999997E-2</v>
      </c>
      <c r="AD31" s="4">
        <f>($G$2*AD$6)+($G$3*distancematrix!AA25)</f>
        <v>-0.19533750000000003</v>
      </c>
      <c r="AE31" s="4">
        <f>($G$2*AE$6)+($G$3*distancematrix!AB25)</f>
        <v>-0.13683590000000001</v>
      </c>
      <c r="AF31" s="4">
        <f>($G$2*AF$6)+($G$3*distancematrix!AC25)</f>
        <v>0.27999240000000003</v>
      </c>
    </row>
    <row r="32" spans="1:32" x14ac:dyDescent="0.55000000000000004">
      <c r="D32" s="3">
        <v>26</v>
      </c>
      <c r="E32" s="4">
        <f>($G$2*E$6)+($G$3*distancematrix!B26)</f>
        <v>-0.2598990000000001</v>
      </c>
      <c r="F32" s="4">
        <f>($G$2*F$6)+($G$3*distancematrix!C26)</f>
        <v>-0.54598999999999998</v>
      </c>
      <c r="G32" s="4">
        <f>($G$2*G$6)+($G$3*distancematrix!D26)</f>
        <v>-0.44140900000000011</v>
      </c>
      <c r="H32" s="4">
        <f>($G$2*H$6)+($G$3*distancematrix!E26)</f>
        <v>-0.42690240000000007</v>
      </c>
      <c r="I32" s="4">
        <f>($G$2*I$6)+($G$3*distancematrix!F26)</f>
        <v>-0.32477270000000014</v>
      </c>
      <c r="J32" s="4">
        <f>($G$2*J$6)+($G$3*distancematrix!G26)</f>
        <v>-0.42031600000000008</v>
      </c>
      <c r="K32" s="4">
        <f>($G$2*K$6)+($G$3*distancematrix!H26)</f>
        <v>-0.22980950000000006</v>
      </c>
      <c r="L32" s="4">
        <f>($G$2*L$6)+($G$3*distancematrix!I26)</f>
        <v>-0.39610960000000006</v>
      </c>
      <c r="M32" s="4">
        <f>($G$2*M$6)+($G$3*distancematrix!J26)</f>
        <v>-9.5141600000000048E-2</v>
      </c>
      <c r="N32" s="4">
        <f>($G$2*N$6)+($G$3*distancematrix!K26)</f>
        <v>-0.36225030000000003</v>
      </c>
      <c r="O32" s="4">
        <f>($G$2*O$6)+($G$3*distancematrix!L26)</f>
        <v>-0.32345549999999995</v>
      </c>
      <c r="P32" s="4">
        <f>($G$2*P$6)+($G$3*distancematrix!M26)</f>
        <v>-6.3600900000000016E-2</v>
      </c>
      <c r="Q32" s="4">
        <f>($G$2*Q$6)+($G$3*distancematrix!N26)</f>
        <v>-0.2002121</v>
      </c>
      <c r="R32" s="4">
        <f>($G$2*R$6)+($G$3*distancematrix!O26)</f>
        <v>-0.27106279999999999</v>
      </c>
      <c r="S32" s="4">
        <f>($G$2*S$6)+($G$3*distancematrix!P26)</f>
        <v>-0.22979890000000003</v>
      </c>
      <c r="T32" s="4">
        <f>($G$2*T$6)+($G$3*distancematrix!Q26)</f>
        <v>-0.28176800000000002</v>
      </c>
      <c r="U32" s="4">
        <f>($G$2*U$6)+($G$3*distancematrix!R26)</f>
        <v>-9.2926300000000003E-2</v>
      </c>
      <c r="V32" s="4">
        <f>($G$2*V$6)+($G$3*distancematrix!S26)</f>
        <v>0.29808750000000001</v>
      </c>
      <c r="W32" s="4">
        <f>($G$2*W$6)+($G$3*distancematrix!T26)</f>
        <v>-0.12454530000000005</v>
      </c>
      <c r="X32" s="4">
        <f>($G$2*X$6)+($G$3*distancematrix!U26)</f>
        <v>-6.9013100000000008E-2</v>
      </c>
      <c r="Y32" s="4">
        <f>($G$2*Y$6)+($G$3*distancematrix!V26)</f>
        <v>-0.28334560000000003</v>
      </c>
      <c r="Z32" s="4">
        <f>($G$2*Z$6)+($G$3*distancematrix!W26)</f>
        <v>-2.6460399999999995E-2</v>
      </c>
      <c r="AA32" s="4">
        <f>($G$2*AA$6)+($G$3*distancematrix!X26)</f>
        <v>4.3622899999999978E-2</v>
      </c>
      <c r="AB32" s="4">
        <f>($G$2*AB$6)+($G$3*distancematrix!Y26)</f>
        <v>-0.1012164</v>
      </c>
      <c r="AC32" s="4">
        <f>($G$2*AC$6)+($G$3*distancematrix!Z26)</f>
        <v>4.7321975859335424E-2</v>
      </c>
      <c r="AD32" s="4">
        <f>($G$2*AD$6)+($G$3*distancematrix!AA26)</f>
        <v>-0.278447</v>
      </c>
      <c r="AE32" s="4">
        <f>($G$2*AE$6)+($G$3*distancematrix!AB26)</f>
        <v>-0.24472730000000004</v>
      </c>
      <c r="AF32" s="4">
        <f>($G$2*AF$6)+($G$3*distancematrix!AC26)</f>
        <v>0.21571499999999999</v>
      </c>
    </row>
    <row r="33" spans="4:33" x14ac:dyDescent="0.55000000000000004">
      <c r="D33" s="3">
        <v>27</v>
      </c>
      <c r="E33" s="4">
        <f>($G$2*E$6)+($G$3*distancematrix!B27)</f>
        <v>-0.36384030000000001</v>
      </c>
      <c r="F33" s="4">
        <f>($G$2*F$6)+($G$3*distancematrix!C27)</f>
        <v>-0.5938215</v>
      </c>
      <c r="G33" s="4">
        <f>($G$2*G$6)+($G$3*distancematrix!D27)</f>
        <v>-0.53735540000000004</v>
      </c>
      <c r="H33" s="4">
        <f>($G$2*H$6)+($G$3*distancematrix!E27)</f>
        <v>-0.45503600000000005</v>
      </c>
      <c r="I33" s="4">
        <f>($G$2*I$6)+($G$3*distancematrix!F27)</f>
        <v>-0.47817670000000012</v>
      </c>
      <c r="J33" s="4">
        <f>($G$2*J$6)+($G$3*distancematrix!G27)</f>
        <v>-0.53520489999999998</v>
      </c>
      <c r="K33" s="4">
        <f>($G$2*K$6)+($G$3*distancematrix!H27)</f>
        <v>-0.41151470000000001</v>
      </c>
      <c r="L33" s="4">
        <f>($G$2*L$6)+($G$3*distancematrix!I27)</f>
        <v>-0.14127790000000001</v>
      </c>
      <c r="M33" s="4">
        <f>($G$2*M$6)+($G$3*distancematrix!J27)</f>
        <v>-0.27409700000000009</v>
      </c>
      <c r="N33" s="4">
        <f>($G$2*N$6)+($G$3*distancematrix!K27)</f>
        <v>-0.48606250000000006</v>
      </c>
      <c r="O33" s="4">
        <f>($G$2*O$6)+($G$3*distancematrix!L27)</f>
        <v>-0.49417339999999993</v>
      </c>
      <c r="P33" s="4">
        <f>($G$2*P$6)+($G$3*distancematrix!M27)</f>
        <v>-0.26415230000000006</v>
      </c>
      <c r="Q33" s="4">
        <f>($G$2*Q$6)+($G$3*distancematrix!N27)</f>
        <v>-0.3028382</v>
      </c>
      <c r="R33" s="4">
        <f>($G$2*R$6)+($G$3*distancematrix!O27)</f>
        <v>-0.15074520000000002</v>
      </c>
      <c r="S33" s="4">
        <f>($G$2*S$6)+($G$3*distancematrix!P27)</f>
        <v>-0.31763880000000005</v>
      </c>
      <c r="T33" s="4">
        <f>($G$2*T$6)+($G$3*distancematrix!Q27)</f>
        <v>-0.27486360000000004</v>
      </c>
      <c r="U33" s="4">
        <f>($G$2*U$6)+($G$3*distancematrix!R27)</f>
        <v>-0.3120869</v>
      </c>
      <c r="V33" s="4">
        <f>($G$2*V$6)+($G$3*distancematrix!S27)</f>
        <v>-2.3671400000000065E-2</v>
      </c>
      <c r="W33" s="4">
        <f>($G$2*W$6)+($G$3*distancematrix!T27)</f>
        <v>-9.7004000000000257E-3</v>
      </c>
      <c r="X33" s="4">
        <f>($G$2*X$6)+($G$3*distancematrix!U27)</f>
        <v>-0.21644010000000002</v>
      </c>
      <c r="Y33" s="4">
        <f>($G$2*Y$6)+($G$3*distancematrix!V27)</f>
        <v>-0.20556020000000003</v>
      </c>
      <c r="Z33" s="4">
        <f>($G$2*Z$6)+($G$3*distancematrix!W27)</f>
        <v>0.12239459999999996</v>
      </c>
      <c r="AA33" s="4">
        <f>($G$2*AA$6)+($G$3*distancematrix!X27)</f>
        <v>-0.35423790000000005</v>
      </c>
      <c r="AB33" s="4">
        <f>($G$2*AB$6)+($G$3*distancematrix!Y27)</f>
        <v>-0.29299900000000001</v>
      </c>
      <c r="AC33" s="4">
        <f>($G$2*AC$6)+($G$3*distancematrix!Z27)</f>
        <v>-0.3127605</v>
      </c>
      <c r="AD33" s="4">
        <f>($G$2*AD$6)+($G$3*distancematrix!AA27)</f>
        <v>5.6526748281295336E-2</v>
      </c>
      <c r="AE33" s="4">
        <f>($G$2*AE$6)+($G$3*distancematrix!AB27)</f>
        <v>-0.36344009999999999</v>
      </c>
      <c r="AF33" s="4">
        <f>($G$2*AF$6)+($G$3*distancematrix!AC27)</f>
        <v>3.7731999999999211E-3</v>
      </c>
    </row>
    <row r="34" spans="4:33" x14ac:dyDescent="0.55000000000000004">
      <c r="D34" s="3">
        <v>28</v>
      </c>
      <c r="E34" s="4">
        <f>($G$2*E$6)+($G$3*distancematrix!B28)</f>
        <v>8.2685100000000011E-2</v>
      </c>
      <c r="F34" s="4">
        <f>($G$2*F$6)+($G$3*distancematrix!C28)</f>
        <v>-0.18795010000000001</v>
      </c>
      <c r="G34" s="4">
        <f>($G$2*G$6)+($G$3*distancematrix!D28)</f>
        <v>-9.0633400000000017E-2</v>
      </c>
      <c r="H34" s="4">
        <f>($G$2*H$6)+($G$3*distancematrix!E28)</f>
        <v>-8.7571800000000005E-2</v>
      </c>
      <c r="I34" s="4">
        <f>($G$2*I$6)+($G$3*distancematrix!F28)</f>
        <v>-5.6420000000000359E-3</v>
      </c>
      <c r="J34" s="4">
        <f>($G$2*J$6)+($G$3*distancematrix!G28)</f>
        <v>-7.1876400000000007E-2</v>
      </c>
      <c r="K34" s="4">
        <f>($G$2*K$6)+($G$3*distancematrix!H28)</f>
        <v>6.5263399999999971E-2</v>
      </c>
      <c r="L34" s="4">
        <f>($G$2*L$6)+($G$3*distancematrix!I28)</f>
        <v>-0.30794540000000004</v>
      </c>
      <c r="M34" s="4">
        <f>($G$2*M$6)+($G$3*distancematrix!J28)</f>
        <v>0.20188729999999999</v>
      </c>
      <c r="N34" s="4">
        <f>($G$2*N$6)+($G$3*distancematrix!K28)</f>
        <v>-1.3294600000000011E-2</v>
      </c>
      <c r="O34" s="4">
        <f>($G$2*O$6)+($G$3*distancematrix!L28)</f>
        <v>-1.9279300000000013E-2</v>
      </c>
      <c r="P34" s="4">
        <f>($G$2*P$6)+($G$3*distancematrix!M28)</f>
        <v>0.13315669999999996</v>
      </c>
      <c r="Q34" s="4">
        <f>($G$2*Q$6)+($G$3*distancematrix!N28)</f>
        <v>7.2796299999999994E-2</v>
      </c>
      <c r="R34" s="4">
        <f>($G$2*R$6)+($G$3*distancematrix!O28)</f>
        <v>-2.8266500000000028E-2</v>
      </c>
      <c r="S34" s="4">
        <f>($G$2*S$6)+($G$3*distancematrix!P28)</f>
        <v>-0.54531209999999997</v>
      </c>
      <c r="T34" s="4">
        <f>($G$2*T$6)+($G$3*distancematrix!Q28)</f>
        <v>-0.19236739999999999</v>
      </c>
      <c r="U34" s="4">
        <f>($G$2*U$6)+($G$3*distancematrix!R28)</f>
        <v>-8.6137299999999986E-2</v>
      </c>
      <c r="V34" s="4">
        <f>($G$2*V$6)+($G$3*distancematrix!S28)</f>
        <v>0.1836603</v>
      </c>
      <c r="W34" s="4">
        <f>($G$2*W$6)+($G$3*distancematrix!T28)</f>
        <v>-0.21767190000000006</v>
      </c>
      <c r="X34" s="4">
        <f>($G$2*X$6)+($G$3*distancematrix!U28)</f>
        <v>-0.34196850000000001</v>
      </c>
      <c r="Y34" s="4">
        <f>($G$2*Y$6)+($G$3*distancematrix!V28)</f>
        <v>-0.54017430000000011</v>
      </c>
      <c r="Z34" s="4">
        <f>($G$2*Z$6)+($G$3*distancematrix!W28)</f>
        <v>-0.2153078000000001</v>
      </c>
      <c r="AA34" s="4">
        <f>($G$2*AA$6)+($G$3*distancematrix!X28)</f>
        <v>-0.18978530000000005</v>
      </c>
      <c r="AB34" s="4">
        <f>($G$2*AB$6)+($G$3*distancematrix!Y28)</f>
        <v>-0.2133814</v>
      </c>
      <c r="AC34" s="4">
        <f>($G$2*AC$6)+($G$3*distancematrix!Z28)</f>
        <v>-0.25792480000000007</v>
      </c>
      <c r="AD34" s="4">
        <f>($G$2*AD$6)+($G$3*distancematrix!AA28)</f>
        <v>-0.34232410000000002</v>
      </c>
      <c r="AE34" s="4">
        <f>($G$2*AE$6)+($G$3*distancematrix!AB28)</f>
        <v>4.281817641193357E-2</v>
      </c>
      <c r="AF34" s="4">
        <f>($G$2*AF$6)+($G$3*distancematrix!AC28)</f>
        <v>0.47013440000000001</v>
      </c>
    </row>
    <row r="35" spans="4:33" x14ac:dyDescent="0.55000000000000004">
      <c r="D35" s="3">
        <v>29</v>
      </c>
      <c r="E35" s="4">
        <f>($G$2*E$6)+($G$3*distancematrix!B29)</f>
        <v>0.13439020000000002</v>
      </c>
      <c r="F35" s="4">
        <f>($G$2*F$6)+($G$3*distancematrix!C29)</f>
        <v>-0.20666200000000001</v>
      </c>
      <c r="G35" s="4">
        <f>($G$2*G$6)+($G$3*distancematrix!D29)</f>
        <v>-7.7892400000000014E-2</v>
      </c>
      <c r="H35" s="4">
        <f>($G$2*H$6)+($G$3*distancematrix!E29)</f>
        <v>-0.21072200000000002</v>
      </c>
      <c r="I35" s="4">
        <f>($G$2*I$6)+($G$3*distancematrix!F29)</f>
        <v>7.9328499999999968E-2</v>
      </c>
      <c r="J35" s="4">
        <f>($G$2*J$6)+($G$3*distancematrix!G29)</f>
        <v>-8.2615000000000008E-2</v>
      </c>
      <c r="K35" s="4">
        <f>($G$2*K$6)+($G$3*distancematrix!H29)</f>
        <v>0.17760359999999997</v>
      </c>
      <c r="L35" s="4">
        <f>($G$2*L$6)+($G$3*distancematrix!I29)</f>
        <v>-0.46562960000000003</v>
      </c>
      <c r="M35" s="4">
        <f>($G$2*M$6)+($G$3*distancematrix!J29)</f>
        <v>0.29348000000000002</v>
      </c>
      <c r="N35" s="4">
        <f>($G$2*N$6)+($G$3*distancematrix!K29)</f>
        <v>-7.7183000000000002E-2</v>
      </c>
      <c r="O35" s="4">
        <f>($G$2*O$6)+($G$3*distancematrix!L29)</f>
        <v>1.4614499999999989E-2</v>
      </c>
      <c r="P35" s="4">
        <f>($G$2*P$6)+($G$3*distancematrix!M29)</f>
        <v>8.0838299999999974E-2</v>
      </c>
      <c r="Q35" s="4">
        <f>($G$2*Q$6)+($G$3*distancematrix!N29)</f>
        <v>-7.7706500000000026E-2</v>
      </c>
      <c r="R35" s="4">
        <f>($G$2*R$6)+($G$3*distancematrix!O29)</f>
        <v>-0.17728190000000005</v>
      </c>
      <c r="S35" s="4">
        <f>($G$2*S$6)+($G$3*distancematrix!P29)</f>
        <v>-0.63209219999999999</v>
      </c>
      <c r="T35" s="4">
        <f>($G$2*T$6)+($G$3*distancematrix!Q29)</f>
        <v>-0.33974910000000003</v>
      </c>
      <c r="U35" s="4">
        <f>($G$2*U$6)+($G$3*distancematrix!R29)</f>
        <v>-0.16824339999999999</v>
      </c>
      <c r="V35" s="4">
        <f>($G$2*V$6)+($G$3*distancematrix!S29)</f>
        <v>0.14461889999999999</v>
      </c>
      <c r="W35" s="4">
        <f>($G$2*W$6)+($G$3*distancematrix!T29)</f>
        <v>-0.35214220000000007</v>
      </c>
      <c r="X35" s="4">
        <f>($G$2*X$6)+($G$3*distancematrix!U29)</f>
        <v>-0.43605820000000001</v>
      </c>
      <c r="Y35" s="4">
        <f>($G$2*Y$6)+($G$3*distancematrix!V29)</f>
        <v>-0.65099900000000011</v>
      </c>
      <c r="Z35" s="4">
        <f>($G$2*Z$6)+($G$3*distancematrix!W29)</f>
        <v>-0.3399216000000001</v>
      </c>
      <c r="AA35" s="4">
        <f>($G$2*AA$6)+($G$3*distancematrix!X29)</f>
        <v>-0.20512110000000006</v>
      </c>
      <c r="AB35" s="4">
        <f>($G$2*AB$6)+($G$3*distancematrix!Y29)</f>
        <v>-0.31125559999999997</v>
      </c>
      <c r="AC35" s="4">
        <f>($G$2*AC$6)+($G$3*distancematrix!Z29)</f>
        <v>-0.31218500000000005</v>
      </c>
      <c r="AD35" s="4">
        <f>($G$2*AD$6)+($G$3*distancematrix!AA29)</f>
        <v>-0.48981330000000012</v>
      </c>
      <c r="AE35" s="4">
        <f>($G$2*AE$6)+($G$3*distancematrix!AB29)</f>
        <v>-4.4568099999999999E-2</v>
      </c>
      <c r="AF35" s="4">
        <f>($G$2*AF$6)+($G$3*distancematrix!AC29)</f>
        <v>0.5971079085548896</v>
      </c>
    </row>
    <row r="40" spans="4:33" x14ac:dyDescent="0.55000000000000004">
      <c r="P40" t="s">
        <v>14</v>
      </c>
    </row>
    <row r="41" spans="4:33" x14ac:dyDescent="0.55000000000000004">
      <c r="E41" s="3">
        <v>1</v>
      </c>
      <c r="F41" s="3">
        <v>2</v>
      </c>
      <c r="G41" s="3">
        <v>3</v>
      </c>
      <c r="H41" s="3">
        <v>5</v>
      </c>
      <c r="I41" s="3">
        <v>6</v>
      </c>
      <c r="J41" s="3">
        <v>7</v>
      </c>
      <c r="K41" s="3">
        <v>8</v>
      </c>
      <c r="L41" s="3">
        <v>9</v>
      </c>
      <c r="M41" s="3">
        <v>10</v>
      </c>
      <c r="N41" s="3">
        <v>11</v>
      </c>
      <c r="O41" s="3">
        <v>12</v>
      </c>
      <c r="P41" s="3">
        <v>13</v>
      </c>
      <c r="Q41" s="3">
        <v>14</v>
      </c>
      <c r="R41" s="3">
        <v>15</v>
      </c>
      <c r="S41" s="3">
        <v>16</v>
      </c>
      <c r="T41" s="3">
        <v>17</v>
      </c>
      <c r="U41" s="3">
        <v>18</v>
      </c>
      <c r="V41" s="3">
        <v>19</v>
      </c>
      <c r="W41" s="3">
        <v>20</v>
      </c>
      <c r="X41" s="3">
        <v>21</v>
      </c>
      <c r="Y41" s="3">
        <v>22</v>
      </c>
      <c r="Z41" s="3">
        <v>23</v>
      </c>
      <c r="AA41" s="3">
        <v>24</v>
      </c>
      <c r="AB41" s="3">
        <v>25</v>
      </c>
      <c r="AC41" s="3">
        <v>26</v>
      </c>
      <c r="AD41" s="3">
        <v>27</v>
      </c>
      <c r="AE41" s="3">
        <v>28</v>
      </c>
      <c r="AF41" s="3">
        <v>29</v>
      </c>
    </row>
    <row r="42" spans="4:33" x14ac:dyDescent="0.55000000000000004">
      <c r="D42" s="3">
        <v>1</v>
      </c>
      <c r="E42" s="4">
        <f>EXP(E8)</f>
        <v>1.3951780545563894</v>
      </c>
      <c r="F42" s="4">
        <f t="shared" ref="F42:AF42" si="0">EXP(F8)</f>
        <v>0.93203547659957231</v>
      </c>
      <c r="G42" s="4">
        <f t="shared" si="0"/>
        <v>0.99161217575375615</v>
      </c>
      <c r="H42" s="4">
        <f t="shared" si="0"/>
        <v>0.76909598447718475</v>
      </c>
      <c r="I42" s="4">
        <f t="shared" si="0"/>
        <v>1.0955214938623712</v>
      </c>
      <c r="J42" s="4">
        <f t="shared" si="0"/>
        <v>0.86376425536148149</v>
      </c>
      <c r="K42" s="4">
        <f t="shared" si="0"/>
        <v>1.0420066236699677</v>
      </c>
      <c r="L42" s="4">
        <f t="shared" si="0"/>
        <v>0.57184099901168495</v>
      </c>
      <c r="M42" s="4">
        <f t="shared" si="0"/>
        <v>1.1162918007635791</v>
      </c>
      <c r="N42" s="4">
        <f t="shared" si="0"/>
        <v>0.80953019966057871</v>
      </c>
      <c r="O42" s="4">
        <f t="shared" si="0"/>
        <v>0.83551289265543105</v>
      </c>
      <c r="P42" s="4">
        <f t="shared" si="0"/>
        <v>0.86164933071754368</v>
      </c>
      <c r="Q42" s="4">
        <f t="shared" si="0"/>
        <v>0.7843667301128433</v>
      </c>
      <c r="R42" s="4">
        <f t="shared" si="0"/>
        <v>0.80858805041593929</v>
      </c>
      <c r="S42" s="4">
        <f t="shared" si="0"/>
        <v>0.42203425299731739</v>
      </c>
      <c r="T42" s="4">
        <f t="shared" si="0"/>
        <v>0.6089570738777158</v>
      </c>
      <c r="U42" s="4">
        <f t="shared" si="0"/>
        <v>0.67290696373538716</v>
      </c>
      <c r="V42" s="4">
        <f t="shared" si="0"/>
        <v>0.89853510755940336</v>
      </c>
      <c r="W42" s="4">
        <f t="shared" si="0"/>
        <v>0.5903748528584104</v>
      </c>
      <c r="X42" s="4">
        <f t="shared" si="0"/>
        <v>0.51695916092598038</v>
      </c>
      <c r="Y42" s="4">
        <f t="shared" si="0"/>
        <v>0.42424345593813639</v>
      </c>
      <c r="Z42" s="4">
        <f t="shared" si="0"/>
        <v>0.58952461744727391</v>
      </c>
      <c r="AA42" s="4">
        <f t="shared" si="0"/>
        <v>0.62708116309765394</v>
      </c>
      <c r="AB42" s="4">
        <f t="shared" si="0"/>
        <v>0.58832209526374335</v>
      </c>
      <c r="AC42" s="4">
        <f t="shared" si="0"/>
        <v>0.57075113783248554</v>
      </c>
      <c r="AD42" s="4">
        <f t="shared" si="0"/>
        <v>0.53236294223609726</v>
      </c>
      <c r="AE42" s="4">
        <f t="shared" si="0"/>
        <v>0.81463069777567043</v>
      </c>
      <c r="AF42" s="4">
        <f t="shared" si="0"/>
        <v>1.4353191088571147</v>
      </c>
      <c r="AG42" s="5">
        <f>SUM(E42:AF42)</f>
        <v>22.168996698020717</v>
      </c>
    </row>
    <row r="43" spans="4:33" x14ac:dyDescent="0.55000000000000004">
      <c r="D43" s="3">
        <v>2</v>
      </c>
      <c r="E43" s="4">
        <f t="shared" ref="E43:AF43" si="1">EXP(E9)</f>
        <v>1.3135725989628171</v>
      </c>
      <c r="F43" s="4">
        <f t="shared" si="1"/>
        <v>1.0058006938529713</v>
      </c>
      <c r="G43" s="4">
        <f t="shared" si="1"/>
        <v>1.0331628238189436</v>
      </c>
      <c r="H43" s="4">
        <f t="shared" si="1"/>
        <v>0.85663744606027104</v>
      </c>
      <c r="I43" s="4">
        <f t="shared" si="1"/>
        <v>1.0563711591515965</v>
      </c>
      <c r="J43" s="4">
        <f t="shared" si="1"/>
        <v>0.91125810620556402</v>
      </c>
      <c r="K43" s="4">
        <f t="shared" si="1"/>
        <v>1.0320110764541706</v>
      </c>
      <c r="L43" s="4">
        <f t="shared" si="1"/>
        <v>0.64507131655258954</v>
      </c>
      <c r="M43" s="4">
        <f t="shared" si="1"/>
        <v>1.129990019065678</v>
      </c>
      <c r="N43" s="4">
        <f t="shared" si="1"/>
        <v>0.86126477629524445</v>
      </c>
      <c r="O43" s="4">
        <f t="shared" si="1"/>
        <v>0.86284820120859962</v>
      </c>
      <c r="P43" s="4">
        <f t="shared" si="1"/>
        <v>0.90596355501591908</v>
      </c>
      <c r="Q43" s="4">
        <f t="shared" si="1"/>
        <v>0.8505470910614974</v>
      </c>
      <c r="R43" s="4">
        <f t="shared" si="1"/>
        <v>0.9163113227991091</v>
      </c>
      <c r="S43" s="4">
        <f t="shared" si="1"/>
        <v>0.45624966880160023</v>
      </c>
      <c r="T43" s="4">
        <f t="shared" si="1"/>
        <v>0.67234767415190966</v>
      </c>
      <c r="U43" s="4">
        <f t="shared" si="1"/>
        <v>0.71737705352733538</v>
      </c>
      <c r="V43" s="4">
        <f t="shared" si="1"/>
        <v>0.94334727308522248</v>
      </c>
      <c r="W43" s="4">
        <f t="shared" si="1"/>
        <v>0.65236914758223385</v>
      </c>
      <c r="X43" s="4">
        <f t="shared" si="1"/>
        <v>0.55915162461712464</v>
      </c>
      <c r="Y43" s="4">
        <f t="shared" si="1"/>
        <v>0.46522873086584055</v>
      </c>
      <c r="Z43" s="4">
        <f t="shared" si="1"/>
        <v>0.65030421662847271</v>
      </c>
      <c r="AA43" s="4">
        <f t="shared" si="1"/>
        <v>0.65195574182238036</v>
      </c>
      <c r="AB43" s="4">
        <f t="shared" si="1"/>
        <v>0.63389731587785181</v>
      </c>
      <c r="AC43" s="4">
        <f t="shared" si="1"/>
        <v>0.60425559501747383</v>
      </c>
      <c r="AD43" s="4">
        <f t="shared" si="1"/>
        <v>0.59614222967057751</v>
      </c>
      <c r="AE43" s="4">
        <f t="shared" si="1"/>
        <v>0.87588489069160835</v>
      </c>
      <c r="AF43" s="4">
        <f t="shared" si="1"/>
        <v>1.4383117069068132</v>
      </c>
      <c r="AG43" s="5">
        <f t="shared" ref="AG43:AG69" si="2">SUM(E43:AF43)</f>
        <v>23.297633055751422</v>
      </c>
    </row>
    <row r="44" spans="4:33" x14ac:dyDescent="0.55000000000000004">
      <c r="D44" s="3">
        <v>3</v>
      </c>
      <c r="E44" s="4">
        <f t="shared" ref="E44:AF44" si="3">EXP(E10)</f>
        <v>1.325675048144511</v>
      </c>
      <c r="F44" s="4">
        <f t="shared" si="3"/>
        <v>0.98003675786050914</v>
      </c>
      <c r="G44" s="4">
        <f t="shared" si="3"/>
        <v>1.047179780755233</v>
      </c>
      <c r="H44" s="4">
        <f t="shared" si="3"/>
        <v>0.86303666783555</v>
      </c>
      <c r="I44" s="4">
        <f t="shared" si="3"/>
        <v>1.1364519676261959</v>
      </c>
      <c r="J44" s="4">
        <f t="shared" si="3"/>
        <v>0.96879940587704716</v>
      </c>
      <c r="K44" s="4">
        <f t="shared" si="3"/>
        <v>1.1158580940444758</v>
      </c>
      <c r="L44" s="4">
        <f t="shared" si="3"/>
        <v>0.63937234166090118</v>
      </c>
      <c r="M44" s="4">
        <f t="shared" si="3"/>
        <v>1.2179755558528642</v>
      </c>
      <c r="N44" s="4">
        <f t="shared" si="3"/>
        <v>0.90834628676124751</v>
      </c>
      <c r="O44" s="4">
        <f t="shared" si="3"/>
        <v>0.92391306247273419</v>
      </c>
      <c r="P44" s="4">
        <f t="shared" si="3"/>
        <v>0.95982701832603579</v>
      </c>
      <c r="Q44" s="4">
        <f t="shared" si="3"/>
        <v>0.88287592812552496</v>
      </c>
      <c r="R44" s="4">
        <f t="shared" si="3"/>
        <v>0.89681417603069236</v>
      </c>
      <c r="S44" s="4">
        <f t="shared" si="3"/>
        <v>0.47388590168878625</v>
      </c>
      <c r="T44" s="4">
        <f t="shared" si="3"/>
        <v>0.68604188244026354</v>
      </c>
      <c r="U44" s="4">
        <f t="shared" si="3"/>
        <v>0.75314884604954357</v>
      </c>
      <c r="V44" s="4">
        <f t="shared" si="3"/>
        <v>0.99856513041115691</v>
      </c>
      <c r="W44" s="4">
        <f t="shared" si="3"/>
        <v>0.66514700673344074</v>
      </c>
      <c r="X44" s="4">
        <f t="shared" si="3"/>
        <v>0.58073536954212834</v>
      </c>
      <c r="Y44" s="4">
        <f t="shared" si="3"/>
        <v>0.47776772287667391</v>
      </c>
      <c r="Z44" s="4">
        <f t="shared" si="3"/>
        <v>0.66420516088027992</v>
      </c>
      <c r="AA44" s="4">
        <f t="shared" si="3"/>
        <v>0.69294364738735215</v>
      </c>
      <c r="AB44" s="4">
        <f t="shared" si="3"/>
        <v>0.66052024795089859</v>
      </c>
      <c r="AC44" s="4">
        <f t="shared" si="3"/>
        <v>0.63637516975918651</v>
      </c>
      <c r="AD44" s="4">
        <f t="shared" si="3"/>
        <v>0.59833774110840943</v>
      </c>
      <c r="AE44" s="4">
        <f t="shared" si="3"/>
        <v>0.91576646288171137</v>
      </c>
      <c r="AF44" s="4">
        <f t="shared" si="3"/>
        <v>1.5518528436038106</v>
      </c>
      <c r="AG44" s="5">
        <f t="shared" si="2"/>
        <v>24.221455224687169</v>
      </c>
    </row>
    <row r="45" spans="4:33" x14ac:dyDescent="0.55000000000000004">
      <c r="D45" s="3">
        <v>5</v>
      </c>
      <c r="E45" s="4">
        <f t="shared" ref="E45:AF45" si="4">EXP(E11)</f>
        <v>1.1217713517340953</v>
      </c>
      <c r="F45" s="4">
        <f t="shared" si="4"/>
        <v>0.88654180253483017</v>
      </c>
      <c r="G45" s="4">
        <f t="shared" si="4"/>
        <v>0.94158128403677244</v>
      </c>
      <c r="H45" s="4">
        <f t="shared" si="4"/>
        <v>0.94238596781338424</v>
      </c>
      <c r="I45" s="4">
        <f t="shared" si="4"/>
        <v>0.982786573407464</v>
      </c>
      <c r="J45" s="4">
        <f t="shared" si="4"/>
        <v>0.92686616329923788</v>
      </c>
      <c r="K45" s="4">
        <f t="shared" si="4"/>
        <v>1.0197926272408824</v>
      </c>
      <c r="L45" s="4">
        <f t="shared" si="4"/>
        <v>0.75827777703626265</v>
      </c>
      <c r="M45" s="4">
        <f t="shared" si="4"/>
        <v>1.1544790462317231</v>
      </c>
      <c r="N45" s="4">
        <f t="shared" si="4"/>
        <v>0.93918274696835047</v>
      </c>
      <c r="O45" s="4">
        <f t="shared" si="4"/>
        <v>0.9127180163823243</v>
      </c>
      <c r="P45" s="4">
        <f t="shared" si="4"/>
        <v>1.0221857226724509</v>
      </c>
      <c r="Q45" s="4">
        <f t="shared" si="4"/>
        <v>0.99666407659799505</v>
      </c>
      <c r="R45" s="4">
        <f t="shared" si="4"/>
        <v>1.0513516268262832</v>
      </c>
      <c r="S45" s="4">
        <f t="shared" si="4"/>
        <v>0.54219226932281994</v>
      </c>
      <c r="T45" s="4">
        <f t="shared" si="4"/>
        <v>0.80354684043721225</v>
      </c>
      <c r="U45" s="4">
        <f t="shared" si="4"/>
        <v>0.83510860226155348</v>
      </c>
      <c r="V45" s="4">
        <f t="shared" si="4"/>
        <v>1.0839325740261505</v>
      </c>
      <c r="W45" s="4">
        <f t="shared" si="4"/>
        <v>0.77985388793962496</v>
      </c>
      <c r="X45" s="4">
        <f t="shared" si="4"/>
        <v>0.66375531428652401</v>
      </c>
      <c r="Y45" s="4">
        <f t="shared" si="4"/>
        <v>0.55580614811226536</v>
      </c>
      <c r="Z45" s="4">
        <f t="shared" si="4"/>
        <v>0.77737758054574835</v>
      </c>
      <c r="AA45" s="4">
        <f t="shared" si="4"/>
        <v>0.74460373607227825</v>
      </c>
      <c r="AB45" s="4">
        <f t="shared" si="4"/>
        <v>0.74822832519449689</v>
      </c>
      <c r="AC45" s="4">
        <f t="shared" si="4"/>
        <v>0.70443663141489621</v>
      </c>
      <c r="AD45" s="4">
        <f t="shared" si="4"/>
        <v>0.70880345873360795</v>
      </c>
      <c r="AE45" s="4">
        <f t="shared" si="4"/>
        <v>1.0021735587615255</v>
      </c>
      <c r="AF45" s="4">
        <f t="shared" si="4"/>
        <v>1.4824905833533621</v>
      </c>
      <c r="AG45" s="5">
        <f t="shared" si="2"/>
        <v>25.088894293244124</v>
      </c>
    </row>
    <row r="46" spans="4:33" x14ac:dyDescent="0.55000000000000004">
      <c r="D46" s="3">
        <v>6</v>
      </c>
      <c r="E46" s="4">
        <f t="shared" ref="E46:AF46" si="5">EXP(E12)</f>
        <v>1.3143680765810084</v>
      </c>
      <c r="F46" s="4">
        <f t="shared" si="5"/>
        <v>0.89927184880888122</v>
      </c>
      <c r="G46" s="4">
        <f t="shared" si="5"/>
        <v>1.0198867584444649</v>
      </c>
      <c r="H46" s="4">
        <f t="shared" si="5"/>
        <v>0.80840969556528086</v>
      </c>
      <c r="I46" s="4">
        <f t="shared" si="5"/>
        <v>1.1793491154040132</v>
      </c>
      <c r="J46" s="4">
        <f t="shared" si="5"/>
        <v>0.93866267769128764</v>
      </c>
      <c r="K46" s="4">
        <f t="shared" si="5"/>
        <v>1.183265157761243</v>
      </c>
      <c r="L46" s="4">
        <f t="shared" si="5"/>
        <v>0.60064608186156065</v>
      </c>
      <c r="M46" s="4">
        <f t="shared" si="5"/>
        <v>1.261451068500653</v>
      </c>
      <c r="N46" s="4">
        <f t="shared" si="5"/>
        <v>0.88923200901256039</v>
      </c>
      <c r="O46" s="4">
        <f t="shared" si="5"/>
        <v>0.93759274315352648</v>
      </c>
      <c r="P46" s="4">
        <f t="shared" si="5"/>
        <v>0.96561362393848726</v>
      </c>
      <c r="Q46" s="4">
        <f t="shared" si="5"/>
        <v>0.85907418386428214</v>
      </c>
      <c r="R46" s="4">
        <f t="shared" si="5"/>
        <v>0.8319212450774941</v>
      </c>
      <c r="S46" s="4">
        <f t="shared" si="5"/>
        <v>0.4700728952629839</v>
      </c>
      <c r="T46" s="4">
        <f t="shared" si="5"/>
        <v>0.65995594248526834</v>
      </c>
      <c r="U46" s="4">
        <f t="shared" si="5"/>
        <v>0.7512944701571066</v>
      </c>
      <c r="V46" s="4">
        <f t="shared" si="5"/>
        <v>1.012336980376523</v>
      </c>
      <c r="W46" s="4">
        <f t="shared" si="5"/>
        <v>0.64249817672428666</v>
      </c>
      <c r="X46" s="4">
        <f t="shared" si="5"/>
        <v>0.57451877593962919</v>
      </c>
      <c r="Y46" s="4">
        <f t="shared" si="5"/>
        <v>0.46719558379797771</v>
      </c>
      <c r="Z46" s="4">
        <f t="shared" si="5"/>
        <v>0.64442901648981998</v>
      </c>
      <c r="AA46" s="4">
        <f t="shared" si="5"/>
        <v>0.70959400247675564</v>
      </c>
      <c r="AB46" s="4">
        <f t="shared" si="5"/>
        <v>0.65366166054953612</v>
      </c>
      <c r="AC46" s="4">
        <f t="shared" si="5"/>
        <v>0.64175401687399314</v>
      </c>
      <c r="AD46" s="4">
        <f t="shared" si="5"/>
        <v>0.56970266192706875</v>
      </c>
      <c r="AE46" s="4">
        <f t="shared" si="5"/>
        <v>0.89474009457821757</v>
      </c>
      <c r="AF46" s="4">
        <f t="shared" si="5"/>
        <v>1.629789719410514</v>
      </c>
      <c r="AG46" s="5">
        <f t="shared" si="2"/>
        <v>24.010288282714424</v>
      </c>
    </row>
    <row r="47" spans="4:33" x14ac:dyDescent="0.55000000000000004">
      <c r="D47" s="3">
        <v>7</v>
      </c>
      <c r="E47" s="4">
        <f t="shared" ref="E47:AF47" si="6">EXP(E13)</f>
        <v>1.2270318217634291</v>
      </c>
      <c r="F47" s="4">
        <f t="shared" si="6"/>
        <v>0.91850254822284449</v>
      </c>
      <c r="G47" s="4">
        <f t="shared" si="6"/>
        <v>1.0294357123207873</v>
      </c>
      <c r="H47" s="4">
        <f t="shared" si="6"/>
        <v>0.90272158081621745</v>
      </c>
      <c r="I47" s="4">
        <f t="shared" si="6"/>
        <v>1.1114093559560816</v>
      </c>
      <c r="J47" s="4">
        <f t="shared" si="6"/>
        <v>1.0098798340222681</v>
      </c>
      <c r="K47" s="4">
        <f t="shared" si="6"/>
        <v>1.1522310426263054</v>
      </c>
      <c r="L47" s="4">
        <f t="shared" si="6"/>
        <v>0.6727237561140117</v>
      </c>
      <c r="M47" s="4">
        <f t="shared" si="6"/>
        <v>1.2890216245007484</v>
      </c>
      <c r="N47" s="4">
        <f t="shared" si="6"/>
        <v>0.9852666143192278</v>
      </c>
      <c r="O47" s="4">
        <f t="shared" si="6"/>
        <v>0.99486582516191691</v>
      </c>
      <c r="P47" s="4">
        <f t="shared" si="6"/>
        <v>1.0411325385288075</v>
      </c>
      <c r="Q47" s="4">
        <f t="shared" si="6"/>
        <v>0.95378566746764781</v>
      </c>
      <c r="R47" s="4">
        <f t="shared" si="6"/>
        <v>0.92694504296601676</v>
      </c>
      <c r="S47" s="4">
        <f t="shared" si="6"/>
        <v>0.51357890513826143</v>
      </c>
      <c r="T47" s="4">
        <f t="shared" si="6"/>
        <v>0.73609043070145563</v>
      </c>
      <c r="U47" s="4">
        <f t="shared" si="6"/>
        <v>0.81728394385791769</v>
      </c>
      <c r="V47" s="4">
        <f t="shared" si="6"/>
        <v>1.0830351244051555</v>
      </c>
      <c r="W47" s="4">
        <f t="shared" si="6"/>
        <v>0.71482887542733597</v>
      </c>
      <c r="X47" s="4">
        <f t="shared" si="6"/>
        <v>0.62920610817615896</v>
      </c>
      <c r="Y47" s="4">
        <f t="shared" si="6"/>
        <v>0.51586230494158969</v>
      </c>
      <c r="Z47" s="4">
        <f t="shared" si="6"/>
        <v>0.71509026464322933</v>
      </c>
      <c r="AA47" s="4">
        <f t="shared" si="6"/>
        <v>0.75049131519567036</v>
      </c>
      <c r="AB47" s="4">
        <f t="shared" si="6"/>
        <v>0.71595747947000454</v>
      </c>
      <c r="AC47" s="4">
        <f t="shared" si="6"/>
        <v>0.69062002356480534</v>
      </c>
      <c r="AD47" s="4">
        <f t="shared" si="6"/>
        <v>0.63715590788853016</v>
      </c>
      <c r="AE47" s="4">
        <f t="shared" si="6"/>
        <v>0.99150786363978027</v>
      </c>
      <c r="AF47" s="4">
        <f t="shared" si="6"/>
        <v>1.6412128316313923</v>
      </c>
      <c r="AG47" s="5">
        <f t="shared" si="2"/>
        <v>25.3668743434676</v>
      </c>
    </row>
    <row r="48" spans="4:33" x14ac:dyDescent="0.55000000000000004">
      <c r="D48" s="3">
        <v>8</v>
      </c>
      <c r="E48" s="4">
        <f t="shared" ref="E48:AF48" si="7">EXP(E14)</f>
        <v>1.2208145501328411</v>
      </c>
      <c r="F48" s="4">
        <f t="shared" si="7"/>
        <v>0.85791041188350159</v>
      </c>
      <c r="G48" s="4">
        <f t="shared" si="7"/>
        <v>0.97789663961270901</v>
      </c>
      <c r="H48" s="4">
        <f t="shared" si="7"/>
        <v>0.81915725910671455</v>
      </c>
      <c r="I48" s="4">
        <f t="shared" si="7"/>
        <v>1.1554873464981119</v>
      </c>
      <c r="J48" s="4">
        <f t="shared" si="7"/>
        <v>0.95029444528928786</v>
      </c>
      <c r="K48" s="4">
        <f t="shared" si="7"/>
        <v>1.2374777790618658</v>
      </c>
      <c r="L48" s="4">
        <f t="shared" si="7"/>
        <v>0.61843690827016251</v>
      </c>
      <c r="M48" s="4">
        <f t="shared" si="7"/>
        <v>1.3490341608551621</v>
      </c>
      <c r="N48" s="4">
        <f t="shared" si="7"/>
        <v>0.92502677124688115</v>
      </c>
      <c r="O48" s="4">
        <f t="shared" si="7"/>
        <v>0.99680332029544161</v>
      </c>
      <c r="P48" s="4">
        <f t="shared" si="7"/>
        <v>1.0320495711852444</v>
      </c>
      <c r="Q48" s="4">
        <f t="shared" si="7"/>
        <v>0.90170036832313338</v>
      </c>
      <c r="R48" s="4">
        <f t="shared" si="7"/>
        <v>0.8414164140446585</v>
      </c>
      <c r="S48" s="4">
        <f t="shared" si="7"/>
        <v>0.50264285042294776</v>
      </c>
      <c r="T48" s="4">
        <f t="shared" si="7"/>
        <v>0.6912491194487016</v>
      </c>
      <c r="U48" s="4">
        <f t="shared" si="7"/>
        <v>0.80247674707920802</v>
      </c>
      <c r="V48" s="4">
        <f t="shared" si="7"/>
        <v>1.087728742724273</v>
      </c>
      <c r="W48" s="4">
        <f t="shared" si="7"/>
        <v>0.67679585169578871</v>
      </c>
      <c r="X48" s="4">
        <f t="shared" si="7"/>
        <v>0.61316506820788874</v>
      </c>
      <c r="Y48" s="4">
        <f t="shared" si="7"/>
        <v>0.49650585649875573</v>
      </c>
      <c r="Z48" s="4">
        <f t="shared" si="7"/>
        <v>0.68152482602891873</v>
      </c>
      <c r="AA48" s="4">
        <f t="shared" si="7"/>
        <v>0.76407891749474766</v>
      </c>
      <c r="AB48" s="4">
        <f t="shared" si="7"/>
        <v>0.69666744880877407</v>
      </c>
      <c r="AC48" s="4">
        <f t="shared" si="7"/>
        <v>0.68911817912432272</v>
      </c>
      <c r="AD48" s="4">
        <f t="shared" si="7"/>
        <v>0.59467859253503697</v>
      </c>
      <c r="AE48" s="4">
        <f t="shared" si="7"/>
        <v>0.93793737180827197</v>
      </c>
      <c r="AF48" s="4">
        <f t="shared" si="7"/>
        <v>1.7558807800533816</v>
      </c>
      <c r="AG48" s="5">
        <f t="shared" si="2"/>
        <v>24.873956297736729</v>
      </c>
    </row>
    <row r="49" spans="4:33" x14ac:dyDescent="0.55000000000000004">
      <c r="D49" s="3">
        <v>9</v>
      </c>
      <c r="E49" s="4">
        <f t="shared" ref="E49:AF49" si="8">EXP(E15)</f>
        <v>0.81663601293301491</v>
      </c>
      <c r="F49" s="4">
        <f t="shared" si="8"/>
        <v>0.65364107053152332</v>
      </c>
      <c r="G49" s="4">
        <f t="shared" si="8"/>
        <v>0.68298608019979734</v>
      </c>
      <c r="H49" s="4">
        <f t="shared" si="8"/>
        <v>0.74243385236331838</v>
      </c>
      <c r="I49" s="4">
        <f t="shared" si="8"/>
        <v>0.71495019218093137</v>
      </c>
      <c r="J49" s="4">
        <f t="shared" si="8"/>
        <v>0.67628445501821655</v>
      </c>
      <c r="K49" s="4">
        <f t="shared" si="8"/>
        <v>0.75382306523766807</v>
      </c>
      <c r="L49" s="4">
        <f t="shared" si="8"/>
        <v>0.9499058973900868</v>
      </c>
      <c r="M49" s="4">
        <f t="shared" si="8"/>
        <v>0.86173162215798105</v>
      </c>
      <c r="N49" s="4">
        <f t="shared" si="8"/>
        <v>0.70292814805370274</v>
      </c>
      <c r="O49" s="4">
        <f t="shared" si="8"/>
        <v>0.68964314247215253</v>
      </c>
      <c r="P49" s="4">
        <f t="shared" si="8"/>
        <v>0.8429077985289225</v>
      </c>
      <c r="Q49" s="4">
        <f t="shared" si="8"/>
        <v>0.83018932648874044</v>
      </c>
      <c r="R49" s="4">
        <f t="shared" si="8"/>
        <v>1.0314143338421493</v>
      </c>
      <c r="S49" s="4">
        <f t="shared" si="8"/>
        <v>0.63472731342314714</v>
      </c>
      <c r="T49" s="4">
        <f t="shared" si="8"/>
        <v>0.83224617376189358</v>
      </c>
      <c r="U49" s="4">
        <f t="shared" si="8"/>
        <v>0.77188284164593024</v>
      </c>
      <c r="V49" s="4">
        <f t="shared" si="8"/>
        <v>1.0040091150867609</v>
      </c>
      <c r="W49" s="4">
        <f t="shared" si="8"/>
        <v>0.9416178180993493</v>
      </c>
      <c r="X49" s="4">
        <f t="shared" si="8"/>
        <v>0.74398336743280791</v>
      </c>
      <c r="Y49" s="4">
        <f t="shared" si="8"/>
        <v>0.68993871788121064</v>
      </c>
      <c r="Z49" s="4">
        <f t="shared" si="8"/>
        <v>0.97195866611396831</v>
      </c>
      <c r="AA49" s="4">
        <f t="shared" si="8"/>
        <v>0.70178541382319637</v>
      </c>
      <c r="AB49" s="4">
        <f t="shared" si="8"/>
        <v>0.75747450419002571</v>
      </c>
      <c r="AC49" s="4">
        <f t="shared" si="8"/>
        <v>0.71128641233849077</v>
      </c>
      <c r="AD49" s="4">
        <f t="shared" si="8"/>
        <v>0.94977050239324423</v>
      </c>
      <c r="AE49" s="4">
        <f t="shared" si="8"/>
        <v>0.78716420938339804</v>
      </c>
      <c r="AF49" s="4">
        <f t="shared" si="8"/>
        <v>1.1249064762742007</v>
      </c>
      <c r="AG49" s="5">
        <f t="shared" si="2"/>
        <v>22.572226529245828</v>
      </c>
    </row>
    <row r="50" spans="4:33" x14ac:dyDescent="0.55000000000000004">
      <c r="D50" s="3">
        <v>10</v>
      </c>
      <c r="E50" s="4">
        <f t="shared" ref="E50:AF50" si="9">EXP(E16)</f>
        <v>1.1861595270453245</v>
      </c>
      <c r="F50" s="4">
        <f t="shared" si="9"/>
        <v>0.85195829745483698</v>
      </c>
      <c r="G50" s="4">
        <f t="shared" si="9"/>
        <v>0.96807433722518677</v>
      </c>
      <c r="H50" s="4">
        <f t="shared" si="9"/>
        <v>0.84106124301652874</v>
      </c>
      <c r="I50" s="4">
        <f t="shared" si="9"/>
        <v>1.1172225061213892</v>
      </c>
      <c r="J50" s="4">
        <f t="shared" si="9"/>
        <v>0.96419521469750979</v>
      </c>
      <c r="K50" s="4">
        <f t="shared" si="9"/>
        <v>1.2235144326127532</v>
      </c>
      <c r="L50" s="4">
        <f t="shared" si="9"/>
        <v>0.64118618757658163</v>
      </c>
      <c r="M50" s="4">
        <f t="shared" si="9"/>
        <v>1.3699034473366274</v>
      </c>
      <c r="N50" s="4">
        <f t="shared" si="9"/>
        <v>0.95706803318355471</v>
      </c>
      <c r="O50" s="4">
        <f t="shared" si="9"/>
        <v>1.0383841469017669</v>
      </c>
      <c r="P50" s="4">
        <f t="shared" si="9"/>
        <v>1.0741788400912875</v>
      </c>
      <c r="Q50" s="4">
        <f t="shared" si="9"/>
        <v>0.93832247413624437</v>
      </c>
      <c r="R50" s="4">
        <f t="shared" si="9"/>
        <v>0.86596221760768277</v>
      </c>
      <c r="S50" s="4">
        <f t="shared" si="9"/>
        <v>0.52285792800199815</v>
      </c>
      <c r="T50" s="4">
        <f t="shared" si="9"/>
        <v>0.71944507018196668</v>
      </c>
      <c r="U50" s="4">
        <f t="shared" si="9"/>
        <v>0.83524590540177412</v>
      </c>
      <c r="V50" s="4">
        <f t="shared" si="9"/>
        <v>1.1280301709339098</v>
      </c>
      <c r="W50" s="4">
        <f t="shared" si="9"/>
        <v>0.70505976973324602</v>
      </c>
      <c r="X50" s="4">
        <f t="shared" si="9"/>
        <v>0.63824924869118427</v>
      </c>
      <c r="Y50" s="4">
        <f t="shared" si="9"/>
        <v>0.51720198195786704</v>
      </c>
      <c r="Z50" s="4">
        <f t="shared" si="9"/>
        <v>0.71012362811427898</v>
      </c>
      <c r="AA50" s="4">
        <f t="shared" si="9"/>
        <v>0.78950011470365289</v>
      </c>
      <c r="AB50" s="4">
        <f t="shared" si="9"/>
        <v>0.72546786589197121</v>
      </c>
      <c r="AC50" s="4">
        <f t="shared" si="9"/>
        <v>0.71509770162065389</v>
      </c>
      <c r="AD50" s="4">
        <f t="shared" si="9"/>
        <v>0.61879700519050718</v>
      </c>
      <c r="AE50" s="4">
        <f t="shared" si="9"/>
        <v>0.97520292639925221</v>
      </c>
      <c r="AF50" s="4">
        <f t="shared" si="9"/>
        <v>1.7881570348641906</v>
      </c>
      <c r="AG50" s="5">
        <f t="shared" si="2"/>
        <v>25.425627256693733</v>
      </c>
    </row>
    <row r="51" spans="4:33" x14ac:dyDescent="0.55000000000000004">
      <c r="D51" s="3">
        <v>11</v>
      </c>
      <c r="E51" s="4">
        <f t="shared" ref="E51:AF51" si="10">EXP(E17)</f>
        <v>1.1530283165438866</v>
      </c>
      <c r="F51" s="4">
        <f t="shared" si="10"/>
        <v>0.87040618236910772</v>
      </c>
      <c r="G51" s="4">
        <f t="shared" si="10"/>
        <v>0.96774989308722426</v>
      </c>
      <c r="H51" s="4">
        <f t="shared" si="10"/>
        <v>0.91713490679004617</v>
      </c>
      <c r="I51" s="4">
        <f t="shared" si="10"/>
        <v>1.0556644720557675</v>
      </c>
      <c r="J51" s="4">
        <f t="shared" si="10"/>
        <v>0.98787066072611174</v>
      </c>
      <c r="K51" s="4">
        <f t="shared" si="10"/>
        <v>1.1245583715917722</v>
      </c>
      <c r="L51" s="4">
        <f t="shared" si="10"/>
        <v>0.70107521569017717</v>
      </c>
      <c r="M51" s="4">
        <f t="shared" si="10"/>
        <v>1.2828750603159842</v>
      </c>
      <c r="N51" s="4">
        <f t="shared" si="10"/>
        <v>1.0030156769886152</v>
      </c>
      <c r="O51" s="4">
        <f t="shared" si="10"/>
        <v>1.0190217515609921</v>
      </c>
      <c r="P51" s="4">
        <f t="shared" si="10"/>
        <v>1.1030531214598311</v>
      </c>
      <c r="Q51" s="4">
        <f t="shared" si="10"/>
        <v>1.0125640730287102</v>
      </c>
      <c r="R51" s="4">
        <f t="shared" si="10"/>
        <v>0.9479255628598674</v>
      </c>
      <c r="S51" s="4">
        <f t="shared" si="10"/>
        <v>0.54661612793776349</v>
      </c>
      <c r="T51" s="4">
        <f t="shared" si="10"/>
        <v>0.77822328287182818</v>
      </c>
      <c r="U51" s="4">
        <f t="shared" si="10"/>
        <v>0.86940570365433023</v>
      </c>
      <c r="V51" s="4">
        <f t="shared" si="10"/>
        <v>1.1483684547296007</v>
      </c>
      <c r="W51" s="4">
        <f t="shared" si="10"/>
        <v>0.75743117788753012</v>
      </c>
      <c r="X51" s="4">
        <f t="shared" si="10"/>
        <v>0.66965126640912931</v>
      </c>
      <c r="Y51" s="4">
        <f t="shared" si="10"/>
        <v>0.54833350027386674</v>
      </c>
      <c r="Z51" s="4">
        <f t="shared" si="10"/>
        <v>0.75881126137463006</v>
      </c>
      <c r="AA51" s="4">
        <f t="shared" si="10"/>
        <v>0.7936885889660974</v>
      </c>
      <c r="AB51" s="4">
        <f t="shared" si="10"/>
        <v>0.76201472449342633</v>
      </c>
      <c r="AC51" s="4">
        <f t="shared" si="10"/>
        <v>0.73384290438356348</v>
      </c>
      <c r="AD51" s="4">
        <f t="shared" si="10"/>
        <v>0.67101821253617677</v>
      </c>
      <c r="AE51" s="4">
        <f t="shared" si="10"/>
        <v>1.0541058794920963</v>
      </c>
      <c r="AF51" s="4">
        <f t="shared" si="10"/>
        <v>1.6545134869110381</v>
      </c>
      <c r="AG51" s="5">
        <f t="shared" si="2"/>
        <v>25.891967836989167</v>
      </c>
    </row>
    <row r="52" spans="4:33" x14ac:dyDescent="0.55000000000000004">
      <c r="D52" s="3">
        <v>12</v>
      </c>
      <c r="E52" s="4">
        <f t="shared" ref="E52:AF52" si="11">EXP(E18)</f>
        <v>1.1529334262182254</v>
      </c>
      <c r="F52" s="4">
        <f t="shared" si="11"/>
        <v>0.844819317443118</v>
      </c>
      <c r="G52" s="4">
        <f t="shared" si="11"/>
        <v>0.95364547127920229</v>
      </c>
      <c r="H52" s="4">
        <f t="shared" si="11"/>
        <v>0.86350309254046898</v>
      </c>
      <c r="I52" s="4">
        <f t="shared" si="11"/>
        <v>1.078373513553174</v>
      </c>
      <c r="J52" s="4">
        <f t="shared" si="11"/>
        <v>0.96639570127061403</v>
      </c>
      <c r="K52" s="4">
        <f t="shared" si="11"/>
        <v>1.174035782414764</v>
      </c>
      <c r="L52" s="4">
        <f t="shared" si="11"/>
        <v>0.66638046685577945</v>
      </c>
      <c r="M52" s="4">
        <f t="shared" si="11"/>
        <v>1.3484776641735534</v>
      </c>
      <c r="N52" s="4">
        <f t="shared" si="11"/>
        <v>0.98725106506105664</v>
      </c>
      <c r="O52" s="4">
        <f t="shared" si="11"/>
        <v>1.0584297695546154</v>
      </c>
      <c r="P52" s="4">
        <f t="shared" si="11"/>
        <v>1.1144782966124249</v>
      </c>
      <c r="Q52" s="4">
        <f t="shared" si="11"/>
        <v>0.97769149841778202</v>
      </c>
      <c r="R52" s="4">
        <f t="shared" si="11"/>
        <v>0.89334824689432524</v>
      </c>
      <c r="S52" s="4">
        <f t="shared" si="11"/>
        <v>0.54267530657906993</v>
      </c>
      <c r="T52" s="4">
        <f t="shared" si="11"/>
        <v>0.74977966171115051</v>
      </c>
      <c r="U52" s="4">
        <f t="shared" si="11"/>
        <v>0.86733247344023479</v>
      </c>
      <c r="V52" s="4">
        <f t="shared" si="11"/>
        <v>1.1640489480331797</v>
      </c>
      <c r="W52" s="4">
        <f t="shared" si="11"/>
        <v>0.73490605813439913</v>
      </c>
      <c r="X52" s="4">
        <f t="shared" si="11"/>
        <v>0.66314480758353145</v>
      </c>
      <c r="Y52" s="4">
        <f t="shared" si="11"/>
        <v>0.53827257615199742</v>
      </c>
      <c r="Z52" s="4">
        <f t="shared" si="11"/>
        <v>0.73986525292968131</v>
      </c>
      <c r="AA52" s="4">
        <f t="shared" si="11"/>
        <v>0.8107552162158409</v>
      </c>
      <c r="AB52" s="4">
        <f t="shared" si="11"/>
        <v>0.7542883930133446</v>
      </c>
      <c r="AC52" s="4">
        <f t="shared" si="11"/>
        <v>0.73908710221982554</v>
      </c>
      <c r="AD52" s="4">
        <f t="shared" si="11"/>
        <v>0.64484590352067628</v>
      </c>
      <c r="AE52" s="4">
        <f t="shared" si="11"/>
        <v>1.015147782076194</v>
      </c>
      <c r="AF52" s="4">
        <f t="shared" si="11"/>
        <v>1.7570398681792037</v>
      </c>
      <c r="AG52" s="5">
        <f t="shared" si="2"/>
        <v>25.800952662077435</v>
      </c>
    </row>
    <row r="53" spans="4:33" x14ac:dyDescent="0.55000000000000004">
      <c r="D53" s="3">
        <v>13</v>
      </c>
      <c r="E53" s="4">
        <f t="shared" ref="E53:AF53" si="12">EXP(E19)</f>
        <v>1.0283335711979242</v>
      </c>
      <c r="F53" s="4">
        <f t="shared" si="12"/>
        <v>0.76717165663635356</v>
      </c>
      <c r="G53" s="4">
        <f t="shared" si="12"/>
        <v>0.85684289235186217</v>
      </c>
      <c r="H53" s="4">
        <f t="shared" si="12"/>
        <v>0.83639122740409966</v>
      </c>
      <c r="I53" s="4">
        <f t="shared" si="12"/>
        <v>0.960529580756465</v>
      </c>
      <c r="J53" s="4">
        <f t="shared" si="12"/>
        <v>0.87467936480762787</v>
      </c>
      <c r="K53" s="4">
        <f t="shared" si="12"/>
        <v>1.0512954861483803</v>
      </c>
      <c r="L53" s="4">
        <f t="shared" si="12"/>
        <v>0.70441775276614937</v>
      </c>
      <c r="M53" s="4">
        <f t="shared" si="12"/>
        <v>1.2064648840219683</v>
      </c>
      <c r="N53" s="4">
        <f t="shared" si="12"/>
        <v>0.92425746904729622</v>
      </c>
      <c r="O53" s="4">
        <f t="shared" si="12"/>
        <v>0.96388228772161488</v>
      </c>
      <c r="P53" s="4">
        <f t="shared" si="12"/>
        <v>1.1868868224129465</v>
      </c>
      <c r="Q53" s="4">
        <f t="shared" si="12"/>
        <v>1.0278396783928712</v>
      </c>
      <c r="R53" s="4">
        <f t="shared" si="12"/>
        <v>0.9008837977517572</v>
      </c>
      <c r="S53" s="4">
        <f t="shared" si="12"/>
        <v>0.60910902762308983</v>
      </c>
      <c r="T53" s="4">
        <f t="shared" si="12"/>
        <v>0.81122924116001349</v>
      </c>
      <c r="U53" s="4">
        <f t="shared" si="12"/>
        <v>0.97310683814777221</v>
      </c>
      <c r="V53" s="4">
        <f t="shared" si="12"/>
        <v>1.3018875852433642</v>
      </c>
      <c r="W53" s="4">
        <f t="shared" si="12"/>
        <v>0.81000099736629261</v>
      </c>
      <c r="X53" s="4">
        <f t="shared" si="12"/>
        <v>0.74354871057198535</v>
      </c>
      <c r="Y53" s="4">
        <f t="shared" si="12"/>
        <v>0.60140421488319362</v>
      </c>
      <c r="Z53" s="4">
        <f t="shared" si="12"/>
        <v>0.82162737647026951</v>
      </c>
      <c r="AA53" s="4">
        <f t="shared" si="12"/>
        <v>0.90047344857814138</v>
      </c>
      <c r="AB53" s="4">
        <f t="shared" si="12"/>
        <v>0.84451270368465026</v>
      </c>
      <c r="AC53" s="4">
        <f t="shared" si="12"/>
        <v>0.8288986392661587</v>
      </c>
      <c r="AD53" s="4">
        <f t="shared" si="12"/>
        <v>0.70194845751161872</v>
      </c>
      <c r="AE53" s="4">
        <f t="shared" si="12"/>
        <v>1.0225481517478965</v>
      </c>
      <c r="AF53" s="4">
        <f t="shared" si="12"/>
        <v>1.6236582785725613</v>
      </c>
      <c r="AG53" s="5">
        <f t="shared" si="2"/>
        <v>25.883830142244328</v>
      </c>
    </row>
    <row r="54" spans="4:33" x14ac:dyDescent="0.55000000000000004">
      <c r="D54" s="3">
        <v>14</v>
      </c>
      <c r="E54" s="4">
        <f t="shared" ref="E54:AF54" si="13">EXP(E20)</f>
        <v>1.0348628439361831</v>
      </c>
      <c r="F54" s="4">
        <f t="shared" si="13"/>
        <v>0.79623333633062043</v>
      </c>
      <c r="G54" s="4">
        <f t="shared" si="13"/>
        <v>0.87130072295702776</v>
      </c>
      <c r="H54" s="4">
        <f t="shared" si="13"/>
        <v>0.90154754306300922</v>
      </c>
      <c r="I54" s="4">
        <f t="shared" si="13"/>
        <v>0.94470931687294102</v>
      </c>
      <c r="J54" s="4">
        <f t="shared" si="13"/>
        <v>0.88583701613473453</v>
      </c>
      <c r="K54" s="4">
        <f t="shared" si="13"/>
        <v>1.01542221360944</v>
      </c>
      <c r="L54" s="4">
        <f t="shared" si="13"/>
        <v>0.76698617695517612</v>
      </c>
      <c r="M54" s="4">
        <f t="shared" si="13"/>
        <v>1.1650656064716522</v>
      </c>
      <c r="N54" s="4">
        <f t="shared" si="13"/>
        <v>0.9379490023037913</v>
      </c>
      <c r="O54" s="4">
        <f t="shared" si="13"/>
        <v>0.93479072338756664</v>
      </c>
      <c r="P54" s="4">
        <f t="shared" si="13"/>
        <v>1.1362804899625962</v>
      </c>
      <c r="Q54" s="4">
        <f t="shared" si="13"/>
        <v>1.0720157439793072</v>
      </c>
      <c r="R54" s="4">
        <f t="shared" si="13"/>
        <v>0.9920753667865212</v>
      </c>
      <c r="S54" s="4">
        <f t="shared" si="13"/>
        <v>0.60653836270092565</v>
      </c>
      <c r="T54" s="4">
        <f t="shared" si="13"/>
        <v>0.86784860303621092</v>
      </c>
      <c r="U54" s="4">
        <f t="shared" si="13"/>
        <v>0.94846821592485553</v>
      </c>
      <c r="V54" s="4">
        <f t="shared" si="13"/>
        <v>1.2302057108573761</v>
      </c>
      <c r="W54" s="4">
        <f t="shared" si="13"/>
        <v>0.84667480117229921</v>
      </c>
      <c r="X54" s="4">
        <f t="shared" si="13"/>
        <v>0.74347071640311202</v>
      </c>
      <c r="Y54" s="4">
        <f t="shared" si="13"/>
        <v>0.61221778618100398</v>
      </c>
      <c r="Z54" s="4">
        <f t="shared" si="13"/>
        <v>0.8483254766710524</v>
      </c>
      <c r="AA54" s="4">
        <f t="shared" si="13"/>
        <v>0.84467452782093333</v>
      </c>
      <c r="AB54" s="4">
        <f t="shared" si="13"/>
        <v>0.84371830664137237</v>
      </c>
      <c r="AC54" s="4">
        <f t="shared" si="13"/>
        <v>0.7993410325992677</v>
      </c>
      <c r="AD54" s="4">
        <f t="shared" si="13"/>
        <v>0.74655932074200015</v>
      </c>
      <c r="AE54" s="4">
        <f t="shared" si="13"/>
        <v>1.0642159171667385</v>
      </c>
      <c r="AF54" s="4">
        <f t="shared" si="13"/>
        <v>1.5317915529223678</v>
      </c>
      <c r="AG54" s="5">
        <f t="shared" si="2"/>
        <v>25.989126433590084</v>
      </c>
    </row>
    <row r="55" spans="4:33" x14ac:dyDescent="0.55000000000000004">
      <c r="D55" s="3">
        <v>15</v>
      </c>
      <c r="E55" s="4">
        <f t="shared" ref="E55:AF55" si="14">EXP(E21)</f>
        <v>0.97267944619728919</v>
      </c>
      <c r="F55" s="4">
        <f t="shared" si="14"/>
        <v>0.78210279161283436</v>
      </c>
      <c r="G55" s="4">
        <f t="shared" si="14"/>
        <v>0.80695562486482564</v>
      </c>
      <c r="H55" s="4">
        <f t="shared" si="14"/>
        <v>0.86709485689746513</v>
      </c>
      <c r="I55" s="4">
        <f t="shared" si="14"/>
        <v>0.83412000173642276</v>
      </c>
      <c r="J55" s="4">
        <f t="shared" si="14"/>
        <v>0.7849388204259492</v>
      </c>
      <c r="K55" s="4">
        <f t="shared" si="14"/>
        <v>0.86392130197821115</v>
      </c>
      <c r="L55" s="4">
        <f t="shared" si="14"/>
        <v>0.86880506494714627</v>
      </c>
      <c r="M55" s="4">
        <f t="shared" si="14"/>
        <v>0.98033836157025389</v>
      </c>
      <c r="N55" s="4">
        <f t="shared" si="14"/>
        <v>0.80058921793098958</v>
      </c>
      <c r="O55" s="4">
        <f t="shared" si="14"/>
        <v>0.77877523882464805</v>
      </c>
      <c r="P55" s="4">
        <f t="shared" si="14"/>
        <v>0.9080457646990755</v>
      </c>
      <c r="Q55" s="4">
        <f t="shared" si="14"/>
        <v>0.90453100149704091</v>
      </c>
      <c r="R55" s="4">
        <f t="shared" si="14"/>
        <v>1.1757699964390615</v>
      </c>
      <c r="S55" s="4">
        <f t="shared" si="14"/>
        <v>0.55771728650656438</v>
      </c>
      <c r="T55" s="4">
        <f t="shared" si="14"/>
        <v>0.82082979932839328</v>
      </c>
      <c r="U55" s="4">
        <f t="shared" si="14"/>
        <v>0.78335719443117513</v>
      </c>
      <c r="V55" s="4">
        <f t="shared" si="14"/>
        <v>1.0083166931324878</v>
      </c>
      <c r="W55" s="4">
        <f t="shared" si="14"/>
        <v>0.82908756679352147</v>
      </c>
      <c r="X55" s="4">
        <f t="shared" si="14"/>
        <v>0.67309203859704159</v>
      </c>
      <c r="Y55" s="4">
        <f t="shared" si="14"/>
        <v>0.59051083184440289</v>
      </c>
      <c r="Z55" s="4">
        <f t="shared" si="14"/>
        <v>0.83269329324500962</v>
      </c>
      <c r="AA55" s="4">
        <f t="shared" si="14"/>
        <v>0.69380273666237047</v>
      </c>
      <c r="AB55" s="4">
        <f t="shared" si="14"/>
        <v>0.73158753544588895</v>
      </c>
      <c r="AC55" s="4">
        <f t="shared" si="14"/>
        <v>0.67895474712455295</v>
      </c>
      <c r="AD55" s="4">
        <f t="shared" si="14"/>
        <v>0.79249451055434295</v>
      </c>
      <c r="AE55" s="4">
        <f t="shared" si="14"/>
        <v>0.87703620910440006</v>
      </c>
      <c r="AF55" s="4">
        <f t="shared" si="14"/>
        <v>1.2642513135843023</v>
      </c>
      <c r="AG55" s="5">
        <f t="shared" si="2"/>
        <v>23.462399245975664</v>
      </c>
    </row>
    <row r="56" spans="4:33" x14ac:dyDescent="0.55000000000000004">
      <c r="D56" s="3">
        <v>16</v>
      </c>
      <c r="E56" s="4">
        <f t="shared" ref="E56:AF56" si="15">EXP(E22)</f>
        <v>0.59479777806697243</v>
      </c>
      <c r="F56" s="4">
        <f t="shared" si="15"/>
        <v>0.45624966880160023</v>
      </c>
      <c r="G56" s="4">
        <f t="shared" si="15"/>
        <v>0.4995744214998708</v>
      </c>
      <c r="H56" s="4">
        <f t="shared" si="15"/>
        <v>0.52390332812092688</v>
      </c>
      <c r="I56" s="4">
        <f t="shared" si="15"/>
        <v>0.55219281011902299</v>
      </c>
      <c r="J56" s="4">
        <f t="shared" si="15"/>
        <v>0.50952818953951717</v>
      </c>
      <c r="K56" s="4">
        <f t="shared" si="15"/>
        <v>0.6046470376762596</v>
      </c>
      <c r="L56" s="4">
        <f t="shared" si="15"/>
        <v>0.62640553383343633</v>
      </c>
      <c r="M56" s="4">
        <f t="shared" si="15"/>
        <v>0.69348962478170917</v>
      </c>
      <c r="N56" s="4">
        <f t="shared" si="15"/>
        <v>0.54087531394400112</v>
      </c>
      <c r="O56" s="4">
        <f t="shared" si="15"/>
        <v>0.55425627995728555</v>
      </c>
      <c r="P56" s="4">
        <f t="shared" si="15"/>
        <v>0.7193052236538463</v>
      </c>
      <c r="Q56" s="4">
        <f t="shared" si="15"/>
        <v>0.64791238506781468</v>
      </c>
      <c r="R56" s="4">
        <f t="shared" si="15"/>
        <v>0.65342135334013995</v>
      </c>
      <c r="S56" s="4">
        <f t="shared" si="15"/>
        <v>0.96132257790355657</v>
      </c>
      <c r="T56" s="4">
        <f t="shared" si="15"/>
        <v>0.63823118649302757</v>
      </c>
      <c r="U56" s="4">
        <f t="shared" si="15"/>
        <v>0.70645286167248866</v>
      </c>
      <c r="V56" s="4">
        <f t="shared" si="15"/>
        <v>1.0154669947164763</v>
      </c>
      <c r="W56" s="4">
        <f t="shared" si="15"/>
        <v>0.84087202552461615</v>
      </c>
      <c r="X56" s="4">
        <f t="shared" si="15"/>
        <v>0.89714345695052811</v>
      </c>
      <c r="Y56" s="4">
        <f t="shared" si="15"/>
        <v>0.94873467806956491</v>
      </c>
      <c r="Z56" s="4">
        <f t="shared" si="15"/>
        <v>1.0746710341463743</v>
      </c>
      <c r="AA56" s="4">
        <f t="shared" si="15"/>
        <v>0.78957472598982015</v>
      </c>
      <c r="AB56" s="4">
        <f t="shared" si="15"/>
        <v>0.7287807111321799</v>
      </c>
      <c r="AC56" s="4">
        <f t="shared" si="15"/>
        <v>0.82897365798755818</v>
      </c>
      <c r="AD56" s="4">
        <f t="shared" si="15"/>
        <v>0.78576831078482956</v>
      </c>
      <c r="AE56" s="4">
        <f t="shared" si="15"/>
        <v>0.61269832074509978</v>
      </c>
      <c r="AF56" s="4">
        <f t="shared" si="15"/>
        <v>0.9399202948743991</v>
      </c>
      <c r="AG56" s="5">
        <f t="shared" si="2"/>
        <v>19.94516978539292</v>
      </c>
    </row>
    <row r="57" spans="4:33" x14ac:dyDescent="0.55000000000000004">
      <c r="D57" s="3">
        <v>17</v>
      </c>
      <c r="E57" s="4">
        <f t="shared" ref="E57:AF57" si="16">EXP(E23)</f>
        <v>0.9047627720281618</v>
      </c>
      <c r="F57" s="4">
        <f t="shared" si="16"/>
        <v>0.70879445698684329</v>
      </c>
      <c r="G57" s="4">
        <f t="shared" si="16"/>
        <v>0.76243608268580054</v>
      </c>
      <c r="H57" s="4">
        <f t="shared" si="16"/>
        <v>0.81853158011613125</v>
      </c>
      <c r="I57" s="4">
        <f t="shared" si="16"/>
        <v>0.8172725019627971</v>
      </c>
      <c r="J57" s="4">
        <f t="shared" si="16"/>
        <v>0.76987216299655115</v>
      </c>
      <c r="K57" s="4">
        <f t="shared" si="16"/>
        <v>0.87660393681718574</v>
      </c>
      <c r="L57" s="4">
        <f t="shared" si="16"/>
        <v>0.8658578754472025</v>
      </c>
      <c r="M57" s="4">
        <f t="shared" si="16"/>
        <v>1.0059590851244311</v>
      </c>
      <c r="N57" s="4">
        <f t="shared" si="16"/>
        <v>0.8117930790913862</v>
      </c>
      <c r="O57" s="4">
        <f t="shared" si="16"/>
        <v>0.80729195334287862</v>
      </c>
      <c r="P57" s="4">
        <f t="shared" si="16"/>
        <v>1.0099228077882711</v>
      </c>
      <c r="Q57" s="4">
        <f t="shared" si="16"/>
        <v>0.97730108640378299</v>
      </c>
      <c r="R57" s="4">
        <f t="shared" si="16"/>
        <v>1.0138150580263414</v>
      </c>
      <c r="S57" s="4">
        <f t="shared" si="16"/>
        <v>0.6728285746403655</v>
      </c>
      <c r="T57" s="4">
        <f t="shared" si="16"/>
        <v>0.91590683937121997</v>
      </c>
      <c r="U57" s="4">
        <f t="shared" si="16"/>
        <v>0.93128511743691511</v>
      </c>
      <c r="V57" s="4">
        <f t="shared" si="16"/>
        <v>1.2060174891709887</v>
      </c>
      <c r="W57" s="4">
        <f t="shared" si="16"/>
        <v>0.97444646247432953</v>
      </c>
      <c r="X57" s="4">
        <f t="shared" si="16"/>
        <v>0.8192537615157176</v>
      </c>
      <c r="Y57" s="4">
        <f t="shared" si="16"/>
        <v>0.69528558788556127</v>
      </c>
      <c r="Z57" s="4">
        <f t="shared" si="16"/>
        <v>0.97195400072356786</v>
      </c>
      <c r="AA57" s="4">
        <f t="shared" si="16"/>
        <v>0.83630324367500208</v>
      </c>
      <c r="AB57" s="4">
        <f t="shared" si="16"/>
        <v>0.89391972580912116</v>
      </c>
      <c r="AC57" s="4">
        <f t="shared" si="16"/>
        <v>0.82965444185290738</v>
      </c>
      <c r="AD57" s="4">
        <f t="shared" si="16"/>
        <v>0.86456559543938361</v>
      </c>
      <c r="AE57" s="4">
        <f t="shared" si="16"/>
        <v>0.91929528226786061</v>
      </c>
      <c r="AF57" s="4">
        <f t="shared" si="16"/>
        <v>1.3273346381372915</v>
      </c>
      <c r="AG57" s="5">
        <f t="shared" si="2"/>
        <v>25.008265199217991</v>
      </c>
    </row>
    <row r="58" spans="4:33" x14ac:dyDescent="0.55000000000000004">
      <c r="D58" s="3">
        <v>18</v>
      </c>
      <c r="E58" s="4">
        <f t="shared" ref="E58:AF58" si="17">EXP(E24)</f>
        <v>0.9187996399840882</v>
      </c>
      <c r="F58" s="4">
        <f t="shared" si="17"/>
        <v>0.69501093481107545</v>
      </c>
      <c r="G58" s="4">
        <f t="shared" si="17"/>
        <v>0.76922143426240486</v>
      </c>
      <c r="H58" s="4">
        <f t="shared" si="17"/>
        <v>0.78178070981027004</v>
      </c>
      <c r="I58" s="4">
        <f t="shared" si="17"/>
        <v>0.85502711251866448</v>
      </c>
      <c r="J58" s="4">
        <f t="shared" si="17"/>
        <v>0.78555783164930937</v>
      </c>
      <c r="K58" s="4">
        <f t="shared" si="17"/>
        <v>0.93523130056825876</v>
      </c>
      <c r="L58" s="4">
        <f t="shared" si="17"/>
        <v>0.7380128814460869</v>
      </c>
      <c r="M58" s="4">
        <f t="shared" si="17"/>
        <v>1.073284314366036</v>
      </c>
      <c r="N58" s="4">
        <f t="shared" si="17"/>
        <v>0.83345347265420378</v>
      </c>
      <c r="O58" s="4">
        <f t="shared" si="17"/>
        <v>0.85822334887130669</v>
      </c>
      <c r="P58" s="4">
        <f t="shared" si="17"/>
        <v>1.1133273009528535</v>
      </c>
      <c r="Q58" s="4">
        <f t="shared" si="17"/>
        <v>0.98157829273068598</v>
      </c>
      <c r="R58" s="4">
        <f t="shared" si="17"/>
        <v>0.88916674177843558</v>
      </c>
      <c r="S58" s="4">
        <f t="shared" si="17"/>
        <v>0.68442733340403206</v>
      </c>
      <c r="T58" s="4">
        <f t="shared" si="17"/>
        <v>0.85585543623992599</v>
      </c>
      <c r="U58" s="4">
        <f t="shared" si="17"/>
        <v>0.97436990836943949</v>
      </c>
      <c r="V58" s="4">
        <f t="shared" si="17"/>
        <v>1.4080275157767816</v>
      </c>
      <c r="W58" s="4">
        <f t="shared" si="17"/>
        <v>0.8931549472494732</v>
      </c>
      <c r="X58" s="4">
        <f t="shared" si="17"/>
        <v>0.8358336240480494</v>
      </c>
      <c r="Y58" s="4">
        <f t="shared" si="17"/>
        <v>0.67496813272624789</v>
      </c>
      <c r="Z58" s="4">
        <f t="shared" si="17"/>
        <v>0.91667031224774309</v>
      </c>
      <c r="AA58" s="4">
        <f t="shared" si="17"/>
        <v>0.96779818501176273</v>
      </c>
      <c r="AB58" s="4">
        <f t="shared" si="17"/>
        <v>0.94784745701149298</v>
      </c>
      <c r="AC58" s="4">
        <f t="shared" si="17"/>
        <v>0.9209327167092074</v>
      </c>
      <c r="AD58" s="4">
        <f t="shared" si="17"/>
        <v>0.76550816324703297</v>
      </c>
      <c r="AE58" s="4">
        <f t="shared" si="17"/>
        <v>0.93952410800014163</v>
      </c>
      <c r="AF58" s="4">
        <f t="shared" si="17"/>
        <v>1.448045331850393</v>
      </c>
      <c r="AG58" s="5">
        <f t="shared" si="2"/>
        <v>25.460638488295409</v>
      </c>
    </row>
    <row r="59" spans="4:33" x14ac:dyDescent="0.55000000000000004">
      <c r="D59" s="3">
        <v>19</v>
      </c>
      <c r="E59" s="4">
        <f t="shared" ref="E59:AF59" si="18">EXP(E25)</f>
        <v>0.87512854048705091</v>
      </c>
      <c r="F59" s="4">
        <f t="shared" si="18"/>
        <v>0.6519086723170503</v>
      </c>
      <c r="G59" s="4">
        <f t="shared" si="18"/>
        <v>0.72747481433976313</v>
      </c>
      <c r="H59" s="4">
        <f t="shared" si="18"/>
        <v>0.72379447587271639</v>
      </c>
      <c r="I59" s="4">
        <f t="shared" si="18"/>
        <v>0.82179936107772611</v>
      </c>
      <c r="J59" s="4">
        <f t="shared" si="18"/>
        <v>0.7425380973940201</v>
      </c>
      <c r="K59" s="4">
        <f t="shared" si="18"/>
        <v>0.90422848647549825</v>
      </c>
      <c r="L59" s="4">
        <f t="shared" si="18"/>
        <v>0.68473292996974233</v>
      </c>
      <c r="M59" s="4">
        <f t="shared" si="18"/>
        <v>1.0339324033364572</v>
      </c>
      <c r="N59" s="4">
        <f t="shared" si="18"/>
        <v>0.78525576419855125</v>
      </c>
      <c r="O59" s="4">
        <f t="shared" si="18"/>
        <v>0.82159344396033251</v>
      </c>
      <c r="P59" s="4">
        <f t="shared" si="18"/>
        <v>1.0624458969475625</v>
      </c>
      <c r="Q59" s="4">
        <f t="shared" si="18"/>
        <v>0.9081360289341448</v>
      </c>
      <c r="R59" s="4">
        <f t="shared" si="18"/>
        <v>0.81637807835944032</v>
      </c>
      <c r="S59" s="4">
        <f t="shared" si="18"/>
        <v>0.70174765878355227</v>
      </c>
      <c r="T59" s="4">
        <f t="shared" si="18"/>
        <v>0.79057369568891711</v>
      </c>
      <c r="U59" s="4">
        <f t="shared" si="18"/>
        <v>1.0043432044920413</v>
      </c>
      <c r="V59" s="4">
        <f t="shared" si="18"/>
        <v>1.4550991029384748</v>
      </c>
      <c r="W59" s="4">
        <f t="shared" si="18"/>
        <v>0.85479756855660916</v>
      </c>
      <c r="X59" s="4">
        <f t="shared" si="18"/>
        <v>0.84394217480292288</v>
      </c>
      <c r="Y59" s="4">
        <f t="shared" si="18"/>
        <v>0.67616253192267406</v>
      </c>
      <c r="Z59" s="4">
        <f t="shared" si="18"/>
        <v>0.89920917174534032</v>
      </c>
      <c r="AA59" s="4">
        <f t="shared" si="18"/>
        <v>1.0526751647049197</v>
      </c>
      <c r="AB59" s="4">
        <f t="shared" si="18"/>
        <v>0.91900722026807102</v>
      </c>
      <c r="AC59" s="4">
        <f t="shared" si="18"/>
        <v>0.97121200282117781</v>
      </c>
      <c r="AD59" s="4">
        <f t="shared" si="18"/>
        <v>0.72858141686241895</v>
      </c>
      <c r="AE59" s="4">
        <f t="shared" si="18"/>
        <v>0.87770897837631556</v>
      </c>
      <c r="AF59" s="4">
        <f t="shared" si="18"/>
        <v>1.4123018626937525</v>
      </c>
      <c r="AG59" s="5">
        <f t="shared" si="2"/>
        <v>24.74670874832724</v>
      </c>
    </row>
    <row r="60" spans="4:33" x14ac:dyDescent="0.55000000000000004">
      <c r="D60" s="3">
        <v>20</v>
      </c>
      <c r="E60" s="4">
        <f t="shared" ref="E60:AF60" si="19">EXP(E26)</f>
        <v>0.76465800301253817</v>
      </c>
      <c r="F60" s="4">
        <f t="shared" si="19"/>
        <v>0.5995303381741014</v>
      </c>
      <c r="G60" s="4">
        <f t="shared" si="19"/>
        <v>0.64440929726362117</v>
      </c>
      <c r="H60" s="4">
        <f t="shared" si="19"/>
        <v>0.6925144324879382</v>
      </c>
      <c r="I60" s="4">
        <f t="shared" si="19"/>
        <v>0.69360974758705607</v>
      </c>
      <c r="J60" s="4">
        <f t="shared" si="19"/>
        <v>0.65174975635538224</v>
      </c>
      <c r="K60" s="4">
        <f t="shared" si="19"/>
        <v>0.74820026715839361</v>
      </c>
      <c r="L60" s="4">
        <f t="shared" si="19"/>
        <v>0.85400579457496506</v>
      </c>
      <c r="M60" s="4">
        <f t="shared" si="19"/>
        <v>0.85940911625523453</v>
      </c>
      <c r="N60" s="4">
        <f t="shared" si="19"/>
        <v>0.68877225973691403</v>
      </c>
      <c r="O60" s="4">
        <f t="shared" si="19"/>
        <v>0.68979515657209189</v>
      </c>
      <c r="P60" s="4">
        <f t="shared" si="19"/>
        <v>0.87906599893763981</v>
      </c>
      <c r="Q60" s="4">
        <f t="shared" si="19"/>
        <v>0.83117484760121352</v>
      </c>
      <c r="R60" s="4">
        <f t="shared" si="19"/>
        <v>0.89268321810906537</v>
      </c>
      <c r="S60" s="4">
        <f t="shared" si="19"/>
        <v>0.77276537630922715</v>
      </c>
      <c r="T60" s="4">
        <f t="shared" si="19"/>
        <v>0.84947250881553171</v>
      </c>
      <c r="U60" s="4">
        <f t="shared" si="19"/>
        <v>0.84722819926285275</v>
      </c>
      <c r="V60" s="4">
        <f t="shared" si="19"/>
        <v>1.1367523715778731</v>
      </c>
      <c r="W60" s="4">
        <f t="shared" si="19"/>
        <v>1.0928578773153705</v>
      </c>
      <c r="X60" s="4">
        <f t="shared" si="19"/>
        <v>0.90958475208987366</v>
      </c>
      <c r="Y60" s="4">
        <f t="shared" si="19"/>
        <v>0.81858028419408013</v>
      </c>
      <c r="Z60" s="4">
        <f t="shared" si="19"/>
        <v>1.1494072790680741</v>
      </c>
      <c r="AA60" s="4">
        <f t="shared" si="19"/>
        <v>0.81597635594126905</v>
      </c>
      <c r="AB60" s="4">
        <f t="shared" si="19"/>
        <v>0.86808373506996939</v>
      </c>
      <c r="AC60" s="4">
        <f t="shared" si="19"/>
        <v>0.84638808097594842</v>
      </c>
      <c r="AD60" s="4">
        <f t="shared" si="19"/>
        <v>0.98253540525995775</v>
      </c>
      <c r="AE60" s="4">
        <f t="shared" si="19"/>
        <v>0.78137007010983128</v>
      </c>
      <c r="AF60" s="4">
        <f t="shared" si="19"/>
        <v>1.1428507513041326</v>
      </c>
      <c r="AG60" s="5">
        <f t="shared" si="2"/>
        <v>23.50343128112015</v>
      </c>
    </row>
    <row r="61" spans="4:33" x14ac:dyDescent="0.55000000000000004">
      <c r="D61" s="3">
        <v>21</v>
      </c>
      <c r="E61" s="4">
        <f t="shared" ref="E61:AF61" si="20">EXP(E27)</f>
        <v>0.71524302423790109</v>
      </c>
      <c r="F61" s="4">
        <f t="shared" si="20"/>
        <v>0.54891531640438163</v>
      </c>
      <c r="G61" s="4">
        <f t="shared" si="20"/>
        <v>0.60100826046937228</v>
      </c>
      <c r="H61" s="4">
        <f t="shared" si="20"/>
        <v>0.62962448050690378</v>
      </c>
      <c r="I61" s="4">
        <f t="shared" si="20"/>
        <v>0.6625299596705656</v>
      </c>
      <c r="J61" s="4">
        <f t="shared" si="20"/>
        <v>0.61281547986408114</v>
      </c>
      <c r="K61" s="4">
        <f t="shared" si="20"/>
        <v>0.72409505773557525</v>
      </c>
      <c r="L61" s="4">
        <f t="shared" si="20"/>
        <v>0.72078772681800674</v>
      </c>
      <c r="M61" s="4">
        <f t="shared" si="20"/>
        <v>0.83104078991033881</v>
      </c>
      <c r="N61" s="4">
        <f t="shared" si="20"/>
        <v>0.6504878234237067</v>
      </c>
      <c r="O61" s="4">
        <f t="shared" si="20"/>
        <v>0.66489749038870782</v>
      </c>
      <c r="P61" s="4">
        <f t="shared" si="20"/>
        <v>0.86199224920534512</v>
      </c>
      <c r="Q61" s="4">
        <f t="shared" si="20"/>
        <v>0.77964631846337851</v>
      </c>
      <c r="R61" s="4">
        <f t="shared" si="20"/>
        <v>0.77415768403372398</v>
      </c>
      <c r="S61" s="4">
        <f t="shared" si="20"/>
        <v>0.88071958097112868</v>
      </c>
      <c r="T61" s="4">
        <f t="shared" si="20"/>
        <v>0.76290031880526044</v>
      </c>
      <c r="U61" s="4">
        <f t="shared" si="20"/>
        <v>0.84693764982258324</v>
      </c>
      <c r="V61" s="4">
        <f t="shared" si="20"/>
        <v>1.1988733011162291</v>
      </c>
      <c r="W61" s="4">
        <f t="shared" si="20"/>
        <v>0.9716305882509475</v>
      </c>
      <c r="X61" s="4">
        <f t="shared" si="20"/>
        <v>0.98029009924222676</v>
      </c>
      <c r="Y61" s="4">
        <f t="shared" si="20"/>
        <v>0.86490016058571317</v>
      </c>
      <c r="Z61" s="4">
        <f t="shared" si="20"/>
        <v>1.1236562755130342</v>
      </c>
      <c r="AA61" s="4">
        <f t="shared" si="20"/>
        <v>0.90349970089624243</v>
      </c>
      <c r="AB61" s="4">
        <f t="shared" si="20"/>
        <v>0.87620692516373622</v>
      </c>
      <c r="AC61" s="4">
        <f t="shared" si="20"/>
        <v>0.95575124859798199</v>
      </c>
      <c r="AD61" s="4">
        <f t="shared" si="20"/>
        <v>0.85353297710117204</v>
      </c>
      <c r="AE61" s="4">
        <f t="shared" si="20"/>
        <v>0.73711194906787114</v>
      </c>
      <c r="AF61" s="4">
        <f t="shared" si="20"/>
        <v>1.1225437327399237</v>
      </c>
      <c r="AG61" s="5">
        <f t="shared" si="2"/>
        <v>22.855796169006034</v>
      </c>
    </row>
    <row r="62" spans="4:33" x14ac:dyDescent="0.55000000000000004">
      <c r="D62" s="3">
        <v>22</v>
      </c>
      <c r="E62" s="4">
        <f t="shared" ref="E62:AF62" si="21">EXP(E28)</f>
        <v>0.58541820898882679</v>
      </c>
      <c r="F62" s="4">
        <f t="shared" si="21"/>
        <v>0.45550795413895606</v>
      </c>
      <c r="G62" s="4">
        <f t="shared" si="21"/>
        <v>0.49314274659707286</v>
      </c>
      <c r="H62" s="4">
        <f t="shared" si="21"/>
        <v>0.52583636910143672</v>
      </c>
      <c r="I62" s="4">
        <f t="shared" si="21"/>
        <v>0.53734560862983849</v>
      </c>
      <c r="J62" s="4">
        <f t="shared" si="21"/>
        <v>0.50109984817497011</v>
      </c>
      <c r="K62" s="4">
        <f t="shared" si="21"/>
        <v>0.58478501208769995</v>
      </c>
      <c r="L62" s="4">
        <f t="shared" si="21"/>
        <v>0.66666607207237472</v>
      </c>
      <c r="M62" s="4">
        <f t="shared" si="21"/>
        <v>0.67165443792397916</v>
      </c>
      <c r="N62" s="4">
        <f t="shared" si="21"/>
        <v>0.53123775947350904</v>
      </c>
      <c r="O62" s="4">
        <f t="shared" si="21"/>
        <v>0.53827257615199742</v>
      </c>
      <c r="P62" s="4">
        <f t="shared" si="21"/>
        <v>0.6953670105951093</v>
      </c>
      <c r="Q62" s="4">
        <f t="shared" si="21"/>
        <v>0.64031457496734112</v>
      </c>
      <c r="R62" s="4">
        <f t="shared" si="21"/>
        <v>0.67738647828155729</v>
      </c>
      <c r="S62" s="4">
        <f t="shared" si="21"/>
        <v>0.92891122915788027</v>
      </c>
      <c r="T62" s="4">
        <f t="shared" si="21"/>
        <v>0.64575274251006909</v>
      </c>
      <c r="U62" s="4">
        <f t="shared" si="21"/>
        <v>0.6821321988276261</v>
      </c>
      <c r="V62" s="4">
        <f t="shared" si="21"/>
        <v>0.95799971356884572</v>
      </c>
      <c r="W62" s="4">
        <f t="shared" si="21"/>
        <v>0.87211341539875742</v>
      </c>
      <c r="X62" s="4">
        <f t="shared" si="21"/>
        <v>0.86262026682529813</v>
      </c>
      <c r="Y62" s="4">
        <f t="shared" si="21"/>
        <v>0.98531329345729746</v>
      </c>
      <c r="Z62" s="4">
        <f t="shared" si="21"/>
        <v>1.158112818838734</v>
      </c>
      <c r="AA62" s="4">
        <f t="shared" si="21"/>
        <v>0.72739377815924466</v>
      </c>
      <c r="AB62" s="4">
        <f t="shared" si="21"/>
        <v>0.7081995320954837</v>
      </c>
      <c r="AC62" s="4">
        <f t="shared" si="21"/>
        <v>0.76933436425781343</v>
      </c>
      <c r="AD62" s="4">
        <f t="shared" si="21"/>
        <v>0.86059548924373641</v>
      </c>
      <c r="AE62" s="4">
        <f t="shared" si="21"/>
        <v>0.60298630135533759</v>
      </c>
      <c r="AF62" s="4">
        <f t="shared" si="21"/>
        <v>0.9030449033017437</v>
      </c>
      <c r="AG62" s="5">
        <f t="shared" si="2"/>
        <v>19.768544704182531</v>
      </c>
    </row>
    <row r="63" spans="4:33" x14ac:dyDescent="0.55000000000000004">
      <c r="D63" s="3">
        <v>23</v>
      </c>
      <c r="E63" s="4">
        <f t="shared" ref="E63:AF63" si="22">EXP(E29)</f>
        <v>0.66212507887064387</v>
      </c>
      <c r="F63" s="4">
        <f t="shared" si="22"/>
        <v>0.51824249976730619</v>
      </c>
      <c r="G63" s="4">
        <f t="shared" si="22"/>
        <v>0.55801401523926786</v>
      </c>
      <c r="H63" s="4">
        <f t="shared" si="22"/>
        <v>0.59861321936709899</v>
      </c>
      <c r="I63" s="4">
        <f t="shared" si="22"/>
        <v>0.603277433101996</v>
      </c>
      <c r="J63" s="4">
        <f t="shared" si="22"/>
        <v>0.56537729044286689</v>
      </c>
      <c r="K63" s="4">
        <f t="shared" si="22"/>
        <v>0.65334196746849849</v>
      </c>
      <c r="L63" s="4">
        <f t="shared" si="22"/>
        <v>0.76442107221172839</v>
      </c>
      <c r="M63" s="4">
        <f t="shared" si="22"/>
        <v>0.75059676663324537</v>
      </c>
      <c r="N63" s="4">
        <f t="shared" si="22"/>
        <v>0.59836329067543415</v>
      </c>
      <c r="O63" s="4">
        <f t="shared" si="22"/>
        <v>0.60219847218109612</v>
      </c>
      <c r="P63" s="4">
        <f t="shared" si="22"/>
        <v>0.77323149435160765</v>
      </c>
      <c r="Q63" s="4">
        <f t="shared" si="22"/>
        <v>0.72216589139970533</v>
      </c>
      <c r="R63" s="4">
        <f t="shared" si="22"/>
        <v>0.77746480720360966</v>
      </c>
      <c r="S63" s="4">
        <f t="shared" si="22"/>
        <v>0.85643025052337962</v>
      </c>
      <c r="T63" s="4">
        <f t="shared" si="22"/>
        <v>0.73474351489228507</v>
      </c>
      <c r="U63" s="4">
        <f t="shared" si="22"/>
        <v>0.75402451367301193</v>
      </c>
      <c r="V63" s="4">
        <f t="shared" si="22"/>
        <v>1.0369600459401611</v>
      </c>
      <c r="W63" s="4">
        <f t="shared" si="22"/>
        <v>0.99671879495780547</v>
      </c>
      <c r="X63" s="4">
        <f t="shared" si="22"/>
        <v>0.91216662750395372</v>
      </c>
      <c r="Y63" s="4">
        <f t="shared" si="22"/>
        <v>0.94262268346356859</v>
      </c>
      <c r="Z63" s="4">
        <f t="shared" si="22"/>
        <v>1.2136788166236481</v>
      </c>
      <c r="AA63" s="4">
        <f t="shared" si="22"/>
        <v>0.76695488455752558</v>
      </c>
      <c r="AB63" s="4">
        <f t="shared" si="22"/>
        <v>0.78174951738224174</v>
      </c>
      <c r="AC63" s="4">
        <f t="shared" si="22"/>
        <v>0.80959156437540636</v>
      </c>
      <c r="AD63" s="4">
        <f t="shared" si="22"/>
        <v>0.97233303947725314</v>
      </c>
      <c r="AE63" s="4">
        <f t="shared" si="22"/>
        <v>0.67917578286635738</v>
      </c>
      <c r="AF63" s="4">
        <f t="shared" si="22"/>
        <v>1.0032185685044546</v>
      </c>
      <c r="AG63" s="5">
        <f t="shared" si="2"/>
        <v>21.607801903655155</v>
      </c>
    </row>
    <row r="64" spans="4:33" x14ac:dyDescent="0.55000000000000004">
      <c r="D64" s="3">
        <v>24</v>
      </c>
      <c r="E64" s="4">
        <f t="shared" ref="E64:AF64" si="23">EXP(E30)</f>
        <v>0.81005931953767596</v>
      </c>
      <c r="F64" s="4">
        <f t="shared" si="23"/>
        <v>0.59757104409125783</v>
      </c>
      <c r="G64" s="4">
        <f t="shared" si="23"/>
        <v>0.66956964089493021</v>
      </c>
      <c r="H64" s="4">
        <f t="shared" si="23"/>
        <v>0.65946914062294404</v>
      </c>
      <c r="I64" s="4">
        <f t="shared" si="23"/>
        <v>0.7640238293907462</v>
      </c>
      <c r="J64" s="4">
        <f t="shared" si="23"/>
        <v>0.68246147527479628</v>
      </c>
      <c r="K64" s="4">
        <f t="shared" si="23"/>
        <v>0.84246538807759996</v>
      </c>
      <c r="L64" s="4">
        <f t="shared" si="23"/>
        <v>0.63481059510982751</v>
      </c>
      <c r="M64" s="4">
        <f t="shared" si="23"/>
        <v>0.95979812796758623</v>
      </c>
      <c r="N64" s="4">
        <f t="shared" si="23"/>
        <v>0.71984051388623904</v>
      </c>
      <c r="O64" s="4">
        <f t="shared" si="23"/>
        <v>0.75898246850663453</v>
      </c>
      <c r="P64" s="4">
        <f t="shared" si="23"/>
        <v>0.97467655644564422</v>
      </c>
      <c r="Q64" s="4">
        <f t="shared" si="23"/>
        <v>0.82702537602295101</v>
      </c>
      <c r="R64" s="4">
        <f t="shared" si="23"/>
        <v>0.7450521224721588</v>
      </c>
      <c r="S64" s="4">
        <f t="shared" si="23"/>
        <v>0.72371015872784628</v>
      </c>
      <c r="T64" s="4">
        <f t="shared" si="23"/>
        <v>0.72712454682036587</v>
      </c>
      <c r="U64" s="4">
        <f t="shared" si="23"/>
        <v>0.91561326796758313</v>
      </c>
      <c r="V64" s="4">
        <f t="shared" si="23"/>
        <v>1.3962096888878939</v>
      </c>
      <c r="W64" s="4">
        <f t="shared" si="23"/>
        <v>0.81382542628795862</v>
      </c>
      <c r="X64" s="4">
        <f t="shared" si="23"/>
        <v>0.8435749710777749</v>
      </c>
      <c r="Y64" s="4">
        <f t="shared" si="23"/>
        <v>0.68094427797883605</v>
      </c>
      <c r="Z64" s="4">
        <f t="shared" si="23"/>
        <v>0.8821141584514588</v>
      </c>
      <c r="AA64" s="4">
        <f t="shared" si="23"/>
        <v>1.0637324733030171</v>
      </c>
      <c r="AB64" s="4">
        <f t="shared" si="23"/>
        <v>0.86249096973835981</v>
      </c>
      <c r="AC64" s="4">
        <f t="shared" si="23"/>
        <v>0.99875217917665293</v>
      </c>
      <c r="AD64" s="4">
        <f t="shared" si="23"/>
        <v>0.69433835087441576</v>
      </c>
      <c r="AE64" s="4">
        <f t="shared" si="23"/>
        <v>0.80134853636966119</v>
      </c>
      <c r="AF64" s="4">
        <f t="shared" si="23"/>
        <v>1.3203639258484852</v>
      </c>
      <c r="AG64" s="5">
        <f t="shared" si="2"/>
        <v>23.369948529811296</v>
      </c>
    </row>
    <row r="65" spans="4:33" x14ac:dyDescent="0.55000000000000004">
      <c r="D65" s="3">
        <v>25</v>
      </c>
      <c r="E65" s="4">
        <f t="shared" ref="E65:AF65" si="24">EXP(E31)</f>
        <v>0.84685169001366034</v>
      </c>
      <c r="F65" s="4">
        <f t="shared" si="24"/>
        <v>0.64742501439426503</v>
      </c>
      <c r="G65" s="4">
        <f t="shared" si="24"/>
        <v>0.71118584355016701</v>
      </c>
      <c r="H65" s="4">
        <f t="shared" si="24"/>
        <v>0.73841845712459075</v>
      </c>
      <c r="I65" s="4">
        <f t="shared" si="24"/>
        <v>0.7842402219624327</v>
      </c>
      <c r="J65" s="4">
        <f t="shared" si="24"/>
        <v>0.72546895409458623</v>
      </c>
      <c r="K65" s="4">
        <f t="shared" si="24"/>
        <v>0.85593049805309651</v>
      </c>
      <c r="L65" s="4">
        <f t="shared" si="24"/>
        <v>0.7634963766845515</v>
      </c>
      <c r="M65" s="4">
        <f t="shared" si="24"/>
        <v>0.98275443681194985</v>
      </c>
      <c r="N65" s="4">
        <f t="shared" si="24"/>
        <v>0.77010269723140523</v>
      </c>
      <c r="O65" s="4">
        <f t="shared" si="24"/>
        <v>0.78682572285368846</v>
      </c>
      <c r="P65" s="4">
        <f t="shared" si="24"/>
        <v>1.0185794902184089</v>
      </c>
      <c r="Q65" s="4">
        <f t="shared" si="24"/>
        <v>0.92050476664578018</v>
      </c>
      <c r="R65" s="4">
        <f t="shared" si="24"/>
        <v>0.8754192189398321</v>
      </c>
      <c r="S65" s="4">
        <f t="shared" si="24"/>
        <v>0.74433327066797872</v>
      </c>
      <c r="T65" s="4">
        <f t="shared" si="24"/>
        <v>0.86604942439378385</v>
      </c>
      <c r="U65" s="4">
        <f t="shared" si="24"/>
        <v>0.99922859768386585</v>
      </c>
      <c r="V65" s="4">
        <f t="shared" si="24"/>
        <v>1.3582331490445032</v>
      </c>
      <c r="W65" s="4">
        <f t="shared" si="24"/>
        <v>0.96474920752033899</v>
      </c>
      <c r="X65" s="4">
        <f t="shared" si="24"/>
        <v>0.91159405785559677</v>
      </c>
      <c r="Y65" s="4">
        <f t="shared" si="24"/>
        <v>0.73874875170698084</v>
      </c>
      <c r="Z65" s="4">
        <f t="shared" si="24"/>
        <v>1.0018938911507056</v>
      </c>
      <c r="AA65" s="4">
        <f t="shared" si="24"/>
        <v>0.96106705132044112</v>
      </c>
      <c r="AB65" s="4">
        <f t="shared" si="24"/>
        <v>1.0003311095471217</v>
      </c>
      <c r="AC65" s="4">
        <f t="shared" si="24"/>
        <v>0.96283964225098739</v>
      </c>
      <c r="AD65" s="4">
        <f t="shared" si="24"/>
        <v>0.82255699821665795</v>
      </c>
      <c r="AE65" s="4">
        <f t="shared" si="24"/>
        <v>0.87211332818742027</v>
      </c>
      <c r="AF65" s="4">
        <f t="shared" si="24"/>
        <v>1.3231197565890751</v>
      </c>
      <c r="AG65" s="5">
        <f t="shared" si="2"/>
        <v>24.954061624713876</v>
      </c>
    </row>
    <row r="66" spans="4:33" x14ac:dyDescent="0.55000000000000004">
      <c r="D66" s="3">
        <v>26</v>
      </c>
      <c r="E66" s="4">
        <f t="shared" ref="E66:AF66" si="25">EXP(E32)</f>
        <v>0.77112946594661336</v>
      </c>
      <c r="F66" s="4">
        <f t="shared" si="25"/>
        <v>0.57926802403205913</v>
      </c>
      <c r="G66" s="4">
        <f t="shared" si="25"/>
        <v>0.64312961276231961</v>
      </c>
      <c r="H66" s="4">
        <f t="shared" si="25"/>
        <v>0.65252723577830452</v>
      </c>
      <c r="I66" s="4">
        <f t="shared" si="25"/>
        <v>0.72269160277576183</v>
      </c>
      <c r="J66" s="4">
        <f t="shared" si="25"/>
        <v>0.65683922582157361</v>
      </c>
      <c r="K66" s="4">
        <f t="shared" si="25"/>
        <v>0.79468497557243789</v>
      </c>
      <c r="L66" s="4">
        <f t="shared" si="25"/>
        <v>0.67293293844549606</v>
      </c>
      <c r="M66" s="4">
        <f t="shared" si="25"/>
        <v>0.90924417637699873</v>
      </c>
      <c r="N66" s="4">
        <f t="shared" si="25"/>
        <v>0.69610811017435703</v>
      </c>
      <c r="O66" s="4">
        <f t="shared" si="25"/>
        <v>0.72364415937098669</v>
      </c>
      <c r="P66" s="4">
        <f t="shared" si="25"/>
        <v>0.93837943203907925</v>
      </c>
      <c r="Q66" s="4">
        <f t="shared" si="25"/>
        <v>0.81855711869983072</v>
      </c>
      <c r="R66" s="4">
        <f t="shared" si="25"/>
        <v>0.76256860559287842</v>
      </c>
      <c r="S66" s="4">
        <f t="shared" si="25"/>
        <v>0.79469339927782456</v>
      </c>
      <c r="T66" s="4">
        <f t="shared" si="25"/>
        <v>0.75444869632848388</v>
      </c>
      <c r="U66" s="4">
        <f t="shared" si="25"/>
        <v>0.91126065773183351</v>
      </c>
      <c r="V66" s="4">
        <f t="shared" si="25"/>
        <v>1.3472796696932476</v>
      </c>
      <c r="W66" s="4">
        <f t="shared" si="25"/>
        <v>0.88289826516906889</v>
      </c>
      <c r="X66" s="4">
        <f t="shared" si="25"/>
        <v>0.93331445357877663</v>
      </c>
      <c r="Y66" s="4">
        <f t="shared" si="25"/>
        <v>0.75325941641580996</v>
      </c>
      <c r="Z66" s="4">
        <f t="shared" si="25"/>
        <v>0.9738866089816558</v>
      </c>
      <c r="AA66" s="4">
        <f t="shared" si="25"/>
        <v>1.0445883663336262</v>
      </c>
      <c r="AB66" s="4">
        <f t="shared" si="25"/>
        <v>0.90373744294114289</v>
      </c>
      <c r="AC66" s="4">
        <f t="shared" si="25"/>
        <v>1.0484595333986428</v>
      </c>
      <c r="AD66" s="4">
        <f t="shared" si="25"/>
        <v>0.75695838548120731</v>
      </c>
      <c r="AE66" s="4">
        <f t="shared" si="25"/>
        <v>0.78291801087511737</v>
      </c>
      <c r="AF66" s="4">
        <f t="shared" si="25"/>
        <v>1.2407487152221388</v>
      </c>
      <c r="AG66" s="5">
        <f t="shared" si="2"/>
        <v>23.470156304817273</v>
      </c>
    </row>
    <row r="67" spans="4:33" x14ac:dyDescent="0.55000000000000004">
      <c r="D67" s="3">
        <v>27</v>
      </c>
      <c r="E67" s="4">
        <f t="shared" ref="E67:AF67" si="26">EXP(E33)</f>
        <v>0.69500217772846662</v>
      </c>
      <c r="F67" s="4">
        <f t="shared" si="26"/>
        <v>0.55221296552442634</v>
      </c>
      <c r="G67" s="4">
        <f t="shared" si="26"/>
        <v>0.58429142804400391</v>
      </c>
      <c r="H67" s="4">
        <f t="shared" si="26"/>
        <v>0.63442512823249941</v>
      </c>
      <c r="I67" s="4">
        <f t="shared" si="26"/>
        <v>0.61991264873865948</v>
      </c>
      <c r="J67" s="4">
        <f t="shared" si="26"/>
        <v>0.58554929880077611</v>
      </c>
      <c r="K67" s="4">
        <f t="shared" si="26"/>
        <v>0.66264578002992058</v>
      </c>
      <c r="L67" s="4">
        <f t="shared" si="26"/>
        <v>0.86824799205086511</v>
      </c>
      <c r="M67" s="4">
        <f t="shared" si="26"/>
        <v>0.76025832662644832</v>
      </c>
      <c r="N67" s="4">
        <f t="shared" si="26"/>
        <v>0.61504336590187814</v>
      </c>
      <c r="O67" s="4">
        <f t="shared" si="26"/>
        <v>0.6100749869156854</v>
      </c>
      <c r="P67" s="4">
        <f t="shared" si="26"/>
        <v>0.7678565861928488</v>
      </c>
      <c r="Q67" s="4">
        <f t="shared" si="26"/>
        <v>0.73871861137277828</v>
      </c>
      <c r="R67" s="4">
        <f t="shared" si="26"/>
        <v>0.86006681576715793</v>
      </c>
      <c r="S67" s="4">
        <f t="shared" si="26"/>
        <v>0.7278656460109949</v>
      </c>
      <c r="T67" s="4">
        <f t="shared" si="26"/>
        <v>0.75967573592880211</v>
      </c>
      <c r="U67" s="4">
        <f t="shared" si="26"/>
        <v>0.73191792179724902</v>
      </c>
      <c r="V67" s="4">
        <f t="shared" si="26"/>
        <v>0.97660656995657924</v>
      </c>
      <c r="W67" s="4">
        <f t="shared" si="26"/>
        <v>0.99034649711731282</v>
      </c>
      <c r="X67" s="4">
        <f t="shared" si="26"/>
        <v>0.80538077578631284</v>
      </c>
      <c r="Y67" s="4">
        <f t="shared" si="26"/>
        <v>0.81419107878885044</v>
      </c>
      <c r="Z67" s="4">
        <f t="shared" si="26"/>
        <v>1.1301999907169826</v>
      </c>
      <c r="AA67" s="4">
        <f t="shared" si="26"/>
        <v>0.70170801116088688</v>
      </c>
      <c r="AB67" s="4">
        <f t="shared" si="26"/>
        <v>0.74602288671973516</v>
      </c>
      <c r="AC67" s="4">
        <f t="shared" si="26"/>
        <v>0.73142506789695549</v>
      </c>
      <c r="AD67" s="4">
        <f t="shared" si="26"/>
        <v>1.0581549182470975</v>
      </c>
      <c r="AE67" s="4">
        <f t="shared" si="26"/>
        <v>0.69528037326320702</v>
      </c>
      <c r="AF67" s="4">
        <f t="shared" si="26"/>
        <v>1.0037803274807706</v>
      </c>
      <c r="AG67" s="5">
        <f t="shared" si="2"/>
        <v>21.426861912798152</v>
      </c>
    </row>
    <row r="68" spans="4:33" x14ac:dyDescent="0.55000000000000004">
      <c r="D68" s="3">
        <v>28</v>
      </c>
      <c r="E68" s="4">
        <f t="shared" ref="E68:AF68" si="27">EXP(E34)</f>
        <v>1.0861997103989067</v>
      </c>
      <c r="F68" s="4">
        <f t="shared" si="27"/>
        <v>0.82865605613821813</v>
      </c>
      <c r="G68" s="4">
        <f t="shared" si="27"/>
        <v>0.91335248455234275</v>
      </c>
      <c r="H68" s="4">
        <f t="shared" si="27"/>
        <v>0.91615308949750063</v>
      </c>
      <c r="I68" s="4">
        <f t="shared" si="27"/>
        <v>0.99437388619132772</v>
      </c>
      <c r="J68" s="4">
        <f t="shared" si="27"/>
        <v>0.9306459165380625</v>
      </c>
      <c r="K68" s="4">
        <f t="shared" si="27"/>
        <v>1.0674401510939777</v>
      </c>
      <c r="L68" s="4">
        <f t="shared" si="27"/>
        <v>0.73495544548090197</v>
      </c>
      <c r="M68" s="4">
        <f t="shared" si="27"/>
        <v>1.2237100882127763</v>
      </c>
      <c r="N68" s="4">
        <f t="shared" si="27"/>
        <v>0.98679338286400609</v>
      </c>
      <c r="O68" s="4">
        <f t="shared" si="27"/>
        <v>0.98090535711352911</v>
      </c>
      <c r="P68" s="4">
        <f t="shared" si="27"/>
        <v>1.1424290029302768</v>
      </c>
      <c r="Q68" s="4">
        <f t="shared" si="27"/>
        <v>1.0755114329208333</v>
      </c>
      <c r="R68" s="4">
        <f t="shared" si="27"/>
        <v>0.97212925982903187</v>
      </c>
      <c r="S68" s="4">
        <f t="shared" si="27"/>
        <v>0.57966084295648157</v>
      </c>
      <c r="T68" s="4">
        <f t="shared" si="27"/>
        <v>0.82500370644247711</v>
      </c>
      <c r="U68" s="4">
        <f t="shared" si="27"/>
        <v>0.91746825418072608</v>
      </c>
      <c r="V68" s="4">
        <f t="shared" si="27"/>
        <v>1.2016075676673061</v>
      </c>
      <c r="W68" s="4">
        <f t="shared" si="27"/>
        <v>0.80438931851059947</v>
      </c>
      <c r="X68" s="4">
        <f t="shared" si="27"/>
        <v>0.7103705810300508</v>
      </c>
      <c r="Y68" s="4">
        <f t="shared" si="27"/>
        <v>0.58264668820517529</v>
      </c>
      <c r="Z68" s="4">
        <f t="shared" si="27"/>
        <v>0.80629322492432731</v>
      </c>
      <c r="AA68" s="4">
        <f t="shared" si="27"/>
        <v>0.82713670113057536</v>
      </c>
      <c r="AB68" s="4">
        <f t="shared" si="27"/>
        <v>0.80784796523788605</v>
      </c>
      <c r="AC68" s="4">
        <f t="shared" si="27"/>
        <v>0.77265333345296572</v>
      </c>
      <c r="AD68" s="4">
        <f t="shared" si="27"/>
        <v>0.71011801815977627</v>
      </c>
      <c r="AE68" s="4">
        <f t="shared" si="27"/>
        <v>1.0437480995720045</v>
      </c>
      <c r="AF68" s="4">
        <f t="shared" si="27"/>
        <v>1.6002092468882116</v>
      </c>
      <c r="AG68" s="5">
        <f t="shared" si="2"/>
        <v>26.042408812120257</v>
      </c>
    </row>
    <row r="69" spans="4:33" x14ac:dyDescent="0.55000000000000004">
      <c r="D69" s="3">
        <v>29</v>
      </c>
      <c r="E69" s="4">
        <f t="shared" ref="E69:AF69" si="28">EXP(E35)</f>
        <v>1.1438390585784264</v>
      </c>
      <c r="F69" s="4">
        <f t="shared" si="28"/>
        <v>0.81329449707580803</v>
      </c>
      <c r="G69" s="4">
        <f t="shared" si="28"/>
        <v>0.92506395807053543</v>
      </c>
      <c r="H69" s="4">
        <f t="shared" si="28"/>
        <v>0.80999921536605868</v>
      </c>
      <c r="I69" s="4">
        <f t="shared" si="28"/>
        <v>1.0825598845880609</v>
      </c>
      <c r="J69" s="4">
        <f t="shared" si="28"/>
        <v>0.92070555063008319</v>
      </c>
      <c r="K69" s="4">
        <f t="shared" si="28"/>
        <v>1.1943517863382804</v>
      </c>
      <c r="L69" s="4">
        <f t="shared" si="28"/>
        <v>0.62773975579646191</v>
      </c>
      <c r="M69" s="4">
        <f t="shared" si="28"/>
        <v>1.3410863574148082</v>
      </c>
      <c r="N69" s="4">
        <f t="shared" si="28"/>
        <v>0.92572043126590242</v>
      </c>
      <c r="O69" s="4">
        <f t="shared" si="28"/>
        <v>1.0147218139477212</v>
      </c>
      <c r="P69" s="4">
        <f t="shared" si="28"/>
        <v>1.0841955679684847</v>
      </c>
      <c r="Q69" s="4">
        <f t="shared" si="28"/>
        <v>0.92523594344588611</v>
      </c>
      <c r="R69" s="4">
        <f t="shared" si="28"/>
        <v>0.83754364768678768</v>
      </c>
      <c r="S69" s="4">
        <f t="shared" si="28"/>
        <v>0.53147867728559517</v>
      </c>
      <c r="T69" s="4">
        <f t="shared" si="28"/>
        <v>0.71194892834172374</v>
      </c>
      <c r="U69" s="4">
        <f t="shared" si="28"/>
        <v>0.84514810060015033</v>
      </c>
      <c r="V69" s="4">
        <f t="shared" si="28"/>
        <v>1.15559908752711</v>
      </c>
      <c r="W69" s="4">
        <f t="shared" si="28"/>
        <v>0.70318012265311625</v>
      </c>
      <c r="X69" s="4">
        <f t="shared" si="28"/>
        <v>0.6465800938788937</v>
      </c>
      <c r="Y69" s="4">
        <f t="shared" si="28"/>
        <v>0.5215245134444102</v>
      </c>
      <c r="Z69" s="4">
        <f t="shared" si="28"/>
        <v>0.7118261277434409</v>
      </c>
      <c r="AA69" s="4">
        <f t="shared" si="28"/>
        <v>0.81454866859464292</v>
      </c>
      <c r="AB69" s="4">
        <f t="shared" si="28"/>
        <v>0.73252661813521824</v>
      </c>
      <c r="AC69" s="4">
        <f t="shared" si="28"/>
        <v>0.73184612417085182</v>
      </c>
      <c r="AD69" s="4">
        <f t="shared" si="28"/>
        <v>0.61274078221000017</v>
      </c>
      <c r="AE69" s="4">
        <f t="shared" si="28"/>
        <v>0.95641046632308446</v>
      </c>
      <c r="AF69" s="4">
        <f t="shared" si="28"/>
        <v>1.8168566791316454</v>
      </c>
      <c r="AG69" s="5">
        <f t="shared" si="2"/>
        <v>25.138272458213187</v>
      </c>
    </row>
    <row r="76" spans="4:33" x14ac:dyDescent="0.55000000000000004">
      <c r="E76" s="3">
        <v>1</v>
      </c>
      <c r="F76" s="3">
        <v>2</v>
      </c>
      <c r="G76" s="3">
        <v>3</v>
      </c>
      <c r="H76" s="3">
        <v>5</v>
      </c>
      <c r="I76" s="3">
        <v>6</v>
      </c>
      <c r="J76" s="3">
        <v>7</v>
      </c>
      <c r="K76" s="3">
        <v>8</v>
      </c>
      <c r="L76" s="3">
        <v>9</v>
      </c>
      <c r="M76" s="3">
        <v>10</v>
      </c>
      <c r="N76" s="3">
        <v>11</v>
      </c>
      <c r="O76" s="3">
        <v>12</v>
      </c>
      <c r="P76" s="3">
        <v>13</v>
      </c>
      <c r="Q76" s="3">
        <v>14</v>
      </c>
      <c r="R76" s="3">
        <v>15</v>
      </c>
      <c r="S76" s="3">
        <v>16</v>
      </c>
      <c r="T76" s="3">
        <v>17</v>
      </c>
      <c r="U76" s="3">
        <v>18</v>
      </c>
      <c r="V76" s="3">
        <v>19</v>
      </c>
      <c r="W76" s="3">
        <v>20</v>
      </c>
      <c r="X76" s="3">
        <v>21</v>
      </c>
      <c r="Y76" s="3">
        <v>22</v>
      </c>
      <c r="Z76" s="3">
        <v>23</v>
      </c>
      <c r="AA76" s="3">
        <v>24</v>
      </c>
      <c r="AB76" s="3">
        <v>25</v>
      </c>
      <c r="AC76" s="3">
        <v>26</v>
      </c>
      <c r="AD76" s="3">
        <v>27</v>
      </c>
      <c r="AE76" s="3">
        <v>28</v>
      </c>
      <c r="AF76" s="3">
        <v>29</v>
      </c>
    </row>
    <row r="77" spans="4:33" x14ac:dyDescent="0.55000000000000004">
      <c r="D77" s="3">
        <v>1</v>
      </c>
      <c r="E77" s="6">
        <f>E42/$AG42</f>
        <v>6.2933748133083223E-2</v>
      </c>
      <c r="F77" s="6">
        <f t="shared" ref="F77:AF77" si="29">F42/$AG42</f>
        <v>4.2042293988107542E-2</v>
      </c>
      <c r="G77" s="6">
        <f t="shared" si="29"/>
        <v>4.4729682143995669E-2</v>
      </c>
      <c r="H77" s="6">
        <f t="shared" si="29"/>
        <v>3.4692412785006677E-2</v>
      </c>
      <c r="I77" s="6">
        <f t="shared" si="29"/>
        <v>4.9416827869354189E-2</v>
      </c>
      <c r="J77" s="6">
        <f t="shared" si="29"/>
        <v>3.8962712978282854E-2</v>
      </c>
      <c r="K77" s="6">
        <f t="shared" si="29"/>
        <v>4.7002876939532388E-2</v>
      </c>
      <c r="L77" s="6">
        <f t="shared" si="29"/>
        <v>2.5794626919798308E-2</v>
      </c>
      <c r="M77" s="6">
        <f t="shared" si="29"/>
        <v>5.0353735713409321E-2</v>
      </c>
      <c r="N77" s="6">
        <f t="shared" si="29"/>
        <v>3.6516320999445809E-2</v>
      </c>
      <c r="O77" s="6">
        <f t="shared" si="29"/>
        <v>3.7688349366303393E-2</v>
      </c>
      <c r="P77" s="6">
        <f t="shared" si="29"/>
        <v>3.8867312871875392E-2</v>
      </c>
      <c r="Q77" s="6">
        <f t="shared" si="29"/>
        <v>3.538124619698612E-2</v>
      </c>
      <c r="R77" s="6">
        <f t="shared" si="29"/>
        <v>3.6473822493199762E-2</v>
      </c>
      <c r="S77" s="6">
        <f t="shared" si="29"/>
        <v>1.9037138159481853E-2</v>
      </c>
      <c r="T77" s="6">
        <f t="shared" si="29"/>
        <v>2.7468860326551651E-2</v>
      </c>
      <c r="U77" s="6">
        <f t="shared" si="29"/>
        <v>3.0353514545629633E-2</v>
      </c>
      <c r="V77" s="6">
        <f t="shared" si="29"/>
        <v>4.0531157986036688E-2</v>
      </c>
      <c r="W77" s="6">
        <f t="shared" si="29"/>
        <v>2.6630652748986156E-2</v>
      </c>
      <c r="X77" s="6">
        <f t="shared" si="29"/>
        <v>2.3319014746938697E-2</v>
      </c>
      <c r="Y77" s="6">
        <f t="shared" si="29"/>
        <v>1.9136790975119479E-2</v>
      </c>
      <c r="Z77" s="6">
        <f t="shared" si="29"/>
        <v>2.6592300295660544E-2</v>
      </c>
      <c r="AA77" s="6">
        <f t="shared" si="29"/>
        <v>2.8286402476375521E-2</v>
      </c>
      <c r="AB77" s="6">
        <f t="shared" si="29"/>
        <v>2.6538056876352446E-2</v>
      </c>
      <c r="AC77" s="6">
        <f t="shared" si="29"/>
        <v>2.5745465417631782E-2</v>
      </c>
      <c r="AD77" s="6">
        <f t="shared" si="29"/>
        <v>2.4013849137504154E-2</v>
      </c>
      <c r="AE77" s="6">
        <f t="shared" si="29"/>
        <v>3.6746394474784776E-2</v>
      </c>
      <c r="AF77" s="6">
        <f t="shared" si="29"/>
        <v>6.4744432434565805E-2</v>
      </c>
    </row>
    <row r="78" spans="4:33" x14ac:dyDescent="0.55000000000000004">
      <c r="D78" s="3">
        <v>2</v>
      </c>
      <c r="E78" s="6">
        <f t="shared" ref="E78:AF78" si="30">E43/$AG43</f>
        <v>5.6382234015765781E-2</v>
      </c>
      <c r="F78" s="6">
        <f t="shared" si="30"/>
        <v>4.3171797385858135E-2</v>
      </c>
      <c r="G78" s="6">
        <f t="shared" si="30"/>
        <v>4.4346257035921918E-2</v>
      </c>
      <c r="H78" s="6">
        <f t="shared" si="30"/>
        <v>3.6769290855012217E-2</v>
      </c>
      <c r="I78" s="6">
        <f t="shared" si="30"/>
        <v>4.5342424126248872E-2</v>
      </c>
      <c r="J78" s="6">
        <f t="shared" si="30"/>
        <v>3.9113763360634796E-2</v>
      </c>
      <c r="K78" s="6">
        <f t="shared" si="30"/>
        <v>4.429682079654014E-2</v>
      </c>
      <c r="L78" s="6">
        <f t="shared" si="30"/>
        <v>2.7688276959677779E-2</v>
      </c>
      <c r="M78" s="6">
        <f t="shared" si="30"/>
        <v>4.8502352851107357E-2</v>
      </c>
      <c r="N78" s="6">
        <f t="shared" si="30"/>
        <v>3.6967908895905045E-2</v>
      </c>
      <c r="O78" s="6">
        <f t="shared" si="30"/>
        <v>3.7035873950963041E-2</v>
      </c>
      <c r="P78" s="6">
        <f t="shared" si="30"/>
        <v>3.8886506317956891E-2</v>
      </c>
      <c r="Q78" s="6">
        <f t="shared" si="30"/>
        <v>3.6507875672439828E-2</v>
      </c>
      <c r="R78" s="6">
        <f t="shared" si="30"/>
        <v>3.9330661643024796E-2</v>
      </c>
      <c r="S78" s="6">
        <f t="shared" si="30"/>
        <v>1.9583520253314623E-2</v>
      </c>
      <c r="T78" s="6">
        <f t="shared" si="30"/>
        <v>2.8859055018292043E-2</v>
      </c>
      <c r="U78" s="6">
        <f t="shared" si="30"/>
        <v>3.0791842751177613E-2</v>
      </c>
      <c r="V78" s="6">
        <f t="shared" si="30"/>
        <v>4.0491120742943497E-2</v>
      </c>
      <c r="W78" s="6">
        <f t="shared" si="30"/>
        <v>2.8001520412872384E-2</v>
      </c>
      <c r="X78" s="6">
        <f t="shared" si="30"/>
        <v>2.4000361894234934E-2</v>
      </c>
      <c r="Y78" s="6">
        <f t="shared" si="30"/>
        <v>1.9968926875642022E-2</v>
      </c>
      <c r="Z78" s="6">
        <f t="shared" si="30"/>
        <v>2.7912887762988177E-2</v>
      </c>
      <c r="AA78" s="6">
        <f t="shared" si="30"/>
        <v>2.7983775873808514E-2</v>
      </c>
      <c r="AB78" s="6">
        <f t="shared" si="30"/>
        <v>2.720865739283173E-2</v>
      </c>
      <c r="AC78" s="6">
        <f t="shared" si="30"/>
        <v>2.593635128390448E-2</v>
      </c>
      <c r="AD78" s="6">
        <f t="shared" si="30"/>
        <v>2.5588102801859931E-2</v>
      </c>
      <c r="AE78" s="6">
        <f t="shared" si="30"/>
        <v>3.7595445365441578E-2</v>
      </c>
      <c r="AF78" s="6">
        <f t="shared" si="30"/>
        <v>6.1736387703631601E-2</v>
      </c>
    </row>
    <row r="79" spans="4:33" x14ac:dyDescent="0.55000000000000004">
      <c r="D79" s="3">
        <v>3</v>
      </c>
      <c r="E79" s="6">
        <f t="shared" ref="E79:AF79" si="31">E44/$AG44</f>
        <v>5.4731436895391269E-2</v>
      </c>
      <c r="F79" s="6">
        <f t="shared" si="31"/>
        <v>4.0461514337983659E-2</v>
      </c>
      <c r="G79" s="6">
        <f t="shared" si="31"/>
        <v>4.3233561775756511E-2</v>
      </c>
      <c r="H79" s="6">
        <f t="shared" si="31"/>
        <v>3.5631082436199765E-2</v>
      </c>
      <c r="I79" s="6">
        <f t="shared" si="31"/>
        <v>4.6919227481753159E-2</v>
      </c>
      <c r="J79" s="6">
        <f t="shared" si="31"/>
        <v>3.9997572271777478E-2</v>
      </c>
      <c r="K79" s="6">
        <f t="shared" si="31"/>
        <v>4.6068994769032819E-2</v>
      </c>
      <c r="L79" s="6">
        <f t="shared" si="31"/>
        <v>2.639694170849138E-2</v>
      </c>
      <c r="M79" s="6">
        <f t="shared" si="31"/>
        <v>5.0284986783596317E-2</v>
      </c>
      <c r="N79" s="6">
        <f t="shared" si="31"/>
        <v>3.7501722267926994E-2</v>
      </c>
      <c r="O79" s="6">
        <f t="shared" si="31"/>
        <v>3.8144407670892402E-2</v>
      </c>
      <c r="P79" s="6">
        <f t="shared" si="31"/>
        <v>3.9627140872516772E-2</v>
      </c>
      <c r="Q79" s="6">
        <f t="shared" si="31"/>
        <v>3.6450160402653003E-2</v>
      </c>
      <c r="R79" s="6">
        <f t="shared" si="31"/>
        <v>3.7025610877278542E-2</v>
      </c>
      <c r="S79" s="6">
        <f t="shared" si="31"/>
        <v>1.956471637615682E-2</v>
      </c>
      <c r="T79" s="6">
        <f t="shared" si="31"/>
        <v>2.8323726880828817E-2</v>
      </c>
      <c r="U79" s="6">
        <f t="shared" si="31"/>
        <v>3.1094285585364569E-2</v>
      </c>
      <c r="V79" s="6">
        <f t="shared" si="31"/>
        <v>4.122647137209956E-2</v>
      </c>
      <c r="W79" s="6">
        <f t="shared" si="31"/>
        <v>2.7461067081366142E-2</v>
      </c>
      <c r="X79" s="6">
        <f t="shared" si="31"/>
        <v>2.3976072624663235E-2</v>
      </c>
      <c r="Y79" s="6">
        <f t="shared" si="31"/>
        <v>1.9724980123808581E-2</v>
      </c>
      <c r="Z79" s="6">
        <f t="shared" si="31"/>
        <v>2.7422182305681778E-2</v>
      </c>
      <c r="AA79" s="6">
        <f t="shared" si="31"/>
        <v>2.8608671153708593E-2</v>
      </c>
      <c r="AB79" s="6">
        <f t="shared" si="31"/>
        <v>2.7270048055480924E-2</v>
      </c>
      <c r="AC79" s="6">
        <f t="shared" si="31"/>
        <v>2.627320133559009E-2</v>
      </c>
      <c r="AD79" s="6">
        <f t="shared" si="31"/>
        <v>2.4702799049768374E-2</v>
      </c>
      <c r="AE79" s="6">
        <f t="shared" si="31"/>
        <v>3.7808069514681228E-2</v>
      </c>
      <c r="AF79" s="6">
        <f t="shared" si="31"/>
        <v>6.4069347989551009E-2</v>
      </c>
    </row>
    <row r="80" spans="4:33" x14ac:dyDescent="0.55000000000000004">
      <c r="D80" s="3">
        <v>5</v>
      </c>
      <c r="E80" s="6">
        <f t="shared" ref="E80:AF80" si="32">E45/$AG45</f>
        <v>4.4711868870050728E-2</v>
      </c>
      <c r="F80" s="6">
        <f t="shared" si="32"/>
        <v>3.5336025261725301E-2</v>
      </c>
      <c r="G80" s="6">
        <f t="shared" si="32"/>
        <v>3.7529803945577589E-2</v>
      </c>
      <c r="H80" s="6">
        <f t="shared" si="32"/>
        <v>3.7561877251288338E-2</v>
      </c>
      <c r="I80" s="6">
        <f t="shared" si="32"/>
        <v>3.9172175621629779E-2</v>
      </c>
      <c r="J80" s="6">
        <f t="shared" si="32"/>
        <v>3.6943284644824791E-2</v>
      </c>
      <c r="K80" s="6">
        <f t="shared" si="32"/>
        <v>4.0647173020912669E-2</v>
      </c>
      <c r="L80" s="6">
        <f t="shared" si="32"/>
        <v>3.0223642707141934E-2</v>
      </c>
      <c r="M80" s="6">
        <f t="shared" si="32"/>
        <v>4.6015541089134346E-2</v>
      </c>
      <c r="N80" s="6">
        <f t="shared" si="32"/>
        <v>3.7434202400113394E-2</v>
      </c>
      <c r="O80" s="6">
        <f t="shared" si="32"/>
        <v>3.6379363941443157E-2</v>
      </c>
      <c r="P80" s="6">
        <f t="shared" si="32"/>
        <v>4.0742557672129164E-2</v>
      </c>
      <c r="Q80" s="6">
        <f t="shared" si="32"/>
        <v>3.9725308933458034E-2</v>
      </c>
      <c r="R80" s="6">
        <f t="shared" si="32"/>
        <v>4.1905060244499838E-2</v>
      </c>
      <c r="S80" s="6">
        <f t="shared" si="32"/>
        <v>2.1610847532201535E-2</v>
      </c>
      <c r="T80" s="6">
        <f t="shared" si="32"/>
        <v>3.2027989398225071E-2</v>
      </c>
      <c r="U80" s="6">
        <f t="shared" si="32"/>
        <v>3.3285986719886237E-2</v>
      </c>
      <c r="V80" s="6">
        <f t="shared" si="32"/>
        <v>4.3203680535177244E-2</v>
      </c>
      <c r="W80" s="6">
        <f t="shared" si="32"/>
        <v>3.108362922751929E-2</v>
      </c>
      <c r="X80" s="6">
        <f t="shared" si="32"/>
        <v>2.6456140574726658E-2</v>
      </c>
      <c r="Y80" s="6">
        <f t="shared" si="32"/>
        <v>2.2153473230660924E-2</v>
      </c>
      <c r="Z80" s="6">
        <f t="shared" si="32"/>
        <v>3.0984927891185652E-2</v>
      </c>
      <c r="AA80" s="6">
        <f t="shared" si="32"/>
        <v>2.9678619048300717E-2</v>
      </c>
      <c r="AB80" s="6">
        <f t="shared" si="32"/>
        <v>2.9823088911334686E-2</v>
      </c>
      <c r="AC80" s="6">
        <f t="shared" si="32"/>
        <v>2.8077627622058465E-2</v>
      </c>
      <c r="AD80" s="6">
        <f t="shared" si="32"/>
        <v>2.8251681817818206E-2</v>
      </c>
      <c r="AE80" s="6">
        <f t="shared" si="32"/>
        <v>3.9944907378058038E-2</v>
      </c>
      <c r="AF80" s="6">
        <f t="shared" si="32"/>
        <v>5.908951450891814E-2</v>
      </c>
    </row>
    <row r="81" spans="4:32" x14ac:dyDescent="0.55000000000000004">
      <c r="D81" s="3">
        <v>6</v>
      </c>
      <c r="E81" s="6">
        <f t="shared" ref="E81:AF81" si="33">E46/$AG46</f>
        <v>5.4741869864480271E-2</v>
      </c>
      <c r="F81" s="6">
        <f t="shared" si="33"/>
        <v>3.7453604813911724E-2</v>
      </c>
      <c r="G81" s="6">
        <f t="shared" si="33"/>
        <v>4.2477072596363019E-2</v>
      </c>
      <c r="H81" s="6">
        <f t="shared" si="33"/>
        <v>3.3669304010284382E-2</v>
      </c>
      <c r="I81" s="6">
        <f t="shared" si="33"/>
        <v>4.9118490436995489E-2</v>
      </c>
      <c r="J81" s="6">
        <f t="shared" si="33"/>
        <v>3.9094186068855043E-2</v>
      </c>
      <c r="K81" s="6">
        <f t="shared" si="33"/>
        <v>4.9281588951728815E-2</v>
      </c>
      <c r="L81" s="6">
        <f t="shared" si="33"/>
        <v>2.5016196173453697E-2</v>
      </c>
      <c r="M81" s="6">
        <f t="shared" si="33"/>
        <v>5.2537939305326943E-2</v>
      </c>
      <c r="N81" s="6">
        <f t="shared" si="33"/>
        <v>3.7035457406512672E-2</v>
      </c>
      <c r="O81" s="6">
        <f t="shared" si="33"/>
        <v>3.9049624565670946E-2</v>
      </c>
      <c r="P81" s="6">
        <f t="shared" si="33"/>
        <v>4.0216660981686567E-2</v>
      </c>
      <c r="Q81" s="6">
        <f t="shared" si="33"/>
        <v>3.5779419794919748E-2</v>
      </c>
      <c r="R81" s="6">
        <f t="shared" si="33"/>
        <v>3.4648532132636405E-2</v>
      </c>
      <c r="S81" s="6">
        <f t="shared" si="33"/>
        <v>1.9577977978773396E-2</v>
      </c>
      <c r="T81" s="6">
        <f t="shared" si="33"/>
        <v>2.7486381450921034E-2</v>
      </c>
      <c r="U81" s="6">
        <f t="shared" si="33"/>
        <v>3.1290522683893859E-2</v>
      </c>
      <c r="V81" s="6">
        <f t="shared" si="33"/>
        <v>4.2162633303546311E-2</v>
      </c>
      <c r="W81" s="6">
        <f t="shared" si="33"/>
        <v>2.675928623426135E-2</v>
      </c>
      <c r="X81" s="6">
        <f t="shared" si="33"/>
        <v>2.3928024902276534E-2</v>
      </c>
      <c r="Y81" s="6">
        <f t="shared" si="33"/>
        <v>1.9458141372435036E-2</v>
      </c>
      <c r="Z81" s="6">
        <f t="shared" si="33"/>
        <v>2.683970341804516E-2</v>
      </c>
      <c r="AA81" s="6">
        <f t="shared" si="33"/>
        <v>2.955374771520795E-2</v>
      </c>
      <c r="AB81" s="6">
        <f t="shared" si="33"/>
        <v>2.7224232081383325E-2</v>
      </c>
      <c r="AC81" s="6">
        <f t="shared" si="33"/>
        <v>2.6728292860023969E-2</v>
      </c>
      <c r="AD81" s="6">
        <f t="shared" si="33"/>
        <v>2.3727439471737256E-2</v>
      </c>
      <c r="AE81" s="6">
        <f t="shared" si="33"/>
        <v>3.7264862630673294E-2</v>
      </c>
      <c r="AF81" s="6">
        <f t="shared" si="33"/>
        <v>6.7878806793995813E-2</v>
      </c>
    </row>
    <row r="82" spans="4:32" x14ac:dyDescent="0.55000000000000004">
      <c r="D82" s="3">
        <v>7</v>
      </c>
      <c r="E82" s="6">
        <f t="shared" ref="E82:AF82" si="34">E47/$AG47</f>
        <v>4.8371423500956891E-2</v>
      </c>
      <c r="F82" s="6">
        <f t="shared" si="34"/>
        <v>3.6208739625793684E-2</v>
      </c>
      <c r="G82" s="6">
        <f t="shared" si="34"/>
        <v>4.0581890318145741E-2</v>
      </c>
      <c r="H82" s="6">
        <f t="shared" si="34"/>
        <v>3.558663036657031E-2</v>
      </c>
      <c r="I82" s="6">
        <f t="shared" si="34"/>
        <v>4.3813413545066432E-2</v>
      </c>
      <c r="J82" s="6">
        <f t="shared" si="34"/>
        <v>3.981096844445596E-2</v>
      </c>
      <c r="K82" s="6">
        <f t="shared" si="34"/>
        <v>4.5422665284855022E-2</v>
      </c>
      <c r="L82" s="6">
        <f t="shared" si="34"/>
        <v>2.6519773268291899E-2</v>
      </c>
      <c r="M82" s="6">
        <f t="shared" si="34"/>
        <v>5.0815153930570608E-2</v>
      </c>
      <c r="N82" s="6">
        <f t="shared" si="34"/>
        <v>3.8840678633824295E-2</v>
      </c>
      <c r="O82" s="6">
        <f t="shared" si="34"/>
        <v>3.9219093834401073E-2</v>
      </c>
      <c r="P82" s="6">
        <f t="shared" si="34"/>
        <v>4.1042996643254816E-2</v>
      </c>
      <c r="Q82" s="6">
        <f t="shared" si="34"/>
        <v>3.7599652781552244E-2</v>
      </c>
      <c r="R82" s="6">
        <f t="shared" si="34"/>
        <v>3.6541555353457288E-2</v>
      </c>
      <c r="S82" s="6">
        <f t="shared" si="34"/>
        <v>2.0246046011991883E-2</v>
      </c>
      <c r="T82" s="6">
        <f t="shared" si="34"/>
        <v>2.9017782038685085E-2</v>
      </c>
      <c r="U82" s="6">
        <f t="shared" si="34"/>
        <v>3.2218551359221054E-2</v>
      </c>
      <c r="V82" s="6">
        <f t="shared" si="34"/>
        <v>4.2694859041001849E-2</v>
      </c>
      <c r="W82" s="6">
        <f t="shared" si="34"/>
        <v>2.8179619836032992E-2</v>
      </c>
      <c r="X82" s="6">
        <f t="shared" si="34"/>
        <v>2.4804242716572222E-2</v>
      </c>
      <c r="Y82" s="6">
        <f t="shared" si="34"/>
        <v>2.0336061036011439E-2</v>
      </c>
      <c r="Z82" s="6">
        <f t="shared" si="34"/>
        <v>2.8189924188565911E-2</v>
      </c>
      <c r="AA82" s="6">
        <f t="shared" si="34"/>
        <v>2.958548637226701E-2</v>
      </c>
      <c r="AB82" s="6">
        <f t="shared" si="34"/>
        <v>2.8224111089759692E-2</v>
      </c>
      <c r="AC82" s="6">
        <f t="shared" si="34"/>
        <v>2.7225270808449119E-2</v>
      </c>
      <c r="AD82" s="6">
        <f t="shared" si="34"/>
        <v>2.5117635671680953E-2</v>
      </c>
      <c r="AE82" s="6">
        <f t="shared" si="34"/>
        <v>3.9086717985620106E-2</v>
      </c>
      <c r="AF82" s="6">
        <f t="shared" si="34"/>
        <v>6.46990563129443E-2</v>
      </c>
    </row>
    <row r="83" spans="4:32" x14ac:dyDescent="0.55000000000000004">
      <c r="D83" s="3">
        <v>8</v>
      </c>
      <c r="E83" s="6">
        <f t="shared" ref="E83:AF83" si="35">E48/$AG48</f>
        <v>4.9080031158691168E-2</v>
      </c>
      <c r="F83" s="6">
        <f t="shared" si="35"/>
        <v>3.4490307919434693E-2</v>
      </c>
      <c r="G83" s="6">
        <f t="shared" si="35"/>
        <v>3.9314077258457168E-2</v>
      </c>
      <c r="H83" s="6">
        <f t="shared" si="35"/>
        <v>3.2932326860333407E-2</v>
      </c>
      <c r="I83" s="6">
        <f t="shared" si="35"/>
        <v>4.6453701721878848E-2</v>
      </c>
      <c r="J83" s="6">
        <f t="shared" si="35"/>
        <v>3.8204394745831198E-2</v>
      </c>
      <c r="K83" s="6">
        <f t="shared" si="35"/>
        <v>4.974993781646482E-2</v>
      </c>
      <c r="L83" s="6">
        <f t="shared" si="35"/>
        <v>2.4862828448662742E-2</v>
      </c>
      <c r="M83" s="6">
        <f t="shared" si="35"/>
        <v>5.4234804657026361E-2</v>
      </c>
      <c r="N83" s="6">
        <f t="shared" si="35"/>
        <v>3.7188566232668384E-2</v>
      </c>
      <c r="O83" s="6">
        <f t="shared" si="35"/>
        <v>4.0074176715753911E-2</v>
      </c>
      <c r="P83" s="6">
        <f t="shared" si="35"/>
        <v>4.1491170878962674E-2</v>
      </c>
      <c r="Q83" s="6">
        <f t="shared" si="35"/>
        <v>3.6250782044076307E-2</v>
      </c>
      <c r="R83" s="6">
        <f t="shared" si="35"/>
        <v>3.3827204807030178E-2</v>
      </c>
      <c r="S83" s="6">
        <f t="shared" si="35"/>
        <v>2.0207595623567248E-2</v>
      </c>
      <c r="T83" s="6">
        <f t="shared" si="35"/>
        <v>2.7790075337215177E-2</v>
      </c>
      <c r="U83" s="6">
        <f t="shared" si="35"/>
        <v>3.2261725375477363E-2</v>
      </c>
      <c r="V83" s="6">
        <f t="shared" si="35"/>
        <v>4.3729623454522387E-2</v>
      </c>
      <c r="W83" s="6">
        <f t="shared" si="35"/>
        <v>2.7209015067593816E-2</v>
      </c>
      <c r="X83" s="6">
        <f t="shared" si="35"/>
        <v>2.465088628718385E-2</v>
      </c>
      <c r="Y83" s="6">
        <f t="shared" si="35"/>
        <v>1.9960871947979283E-2</v>
      </c>
      <c r="Z83" s="6">
        <f t="shared" si="35"/>
        <v>2.7399132565450811E-2</v>
      </c>
      <c r="AA83" s="6">
        <f t="shared" si="35"/>
        <v>3.0718029265182509E-2</v>
      </c>
      <c r="AB83" s="6">
        <f t="shared" si="35"/>
        <v>2.8007906762792033E-2</v>
      </c>
      <c r="AC83" s="6">
        <f t="shared" si="35"/>
        <v>2.7704405800014424E-2</v>
      </c>
      <c r="AD83" s="6">
        <f t="shared" si="35"/>
        <v>2.3907680202411005E-2</v>
      </c>
      <c r="AE83" s="6">
        <f t="shared" si="35"/>
        <v>3.7707607128569832E-2</v>
      </c>
      <c r="AF83" s="6">
        <f t="shared" si="35"/>
        <v>7.0591133916768536E-2</v>
      </c>
    </row>
    <row r="84" spans="4:32" x14ac:dyDescent="0.55000000000000004">
      <c r="D84" s="3">
        <v>9</v>
      </c>
      <c r="E84" s="6">
        <f t="shared" ref="E84:AF84" si="36">E49/$AG49</f>
        <v>3.6178797509183951E-2</v>
      </c>
      <c r="F84" s="6">
        <f t="shared" si="36"/>
        <v>2.895775787491011E-2</v>
      </c>
      <c r="G84" s="6">
        <f t="shared" si="36"/>
        <v>3.0257807279883652E-2</v>
      </c>
      <c r="H84" s="6">
        <f t="shared" si="36"/>
        <v>3.2891476230817548E-2</v>
      </c>
      <c r="I84" s="6">
        <f t="shared" si="36"/>
        <v>3.1673888761243926E-2</v>
      </c>
      <c r="J84" s="6">
        <f t="shared" si="36"/>
        <v>2.9960910331197719E-2</v>
      </c>
      <c r="K84" s="6">
        <f t="shared" si="36"/>
        <v>3.339604377357161E-2</v>
      </c>
      <c r="L84" s="6">
        <f t="shared" si="36"/>
        <v>4.2082950751860304E-2</v>
      </c>
      <c r="M84" s="6">
        <f t="shared" si="36"/>
        <v>3.8176633618374943E-2</v>
      </c>
      <c r="N84" s="6">
        <f t="shared" si="36"/>
        <v>3.1141285381969301E-2</v>
      </c>
      <c r="O84" s="6">
        <f t="shared" si="36"/>
        <v>3.0552729992258967E-2</v>
      </c>
      <c r="P84" s="6">
        <f t="shared" si="36"/>
        <v>3.7342696230555916E-2</v>
      </c>
      <c r="Q84" s="6">
        <f t="shared" si="36"/>
        <v>3.6779239540818055E-2</v>
      </c>
      <c r="R84" s="6">
        <f t="shared" si="36"/>
        <v>4.5693956354097003E-2</v>
      </c>
      <c r="S84" s="6">
        <f t="shared" si="36"/>
        <v>2.8119836233291354E-2</v>
      </c>
      <c r="T84" s="6">
        <f t="shared" si="36"/>
        <v>3.6870362464402409E-2</v>
      </c>
      <c r="U84" s="6">
        <f t="shared" si="36"/>
        <v>3.4196132164712949E-2</v>
      </c>
      <c r="V84" s="6">
        <f t="shared" si="36"/>
        <v>4.44798440147635E-2</v>
      </c>
      <c r="W84" s="6">
        <f t="shared" si="36"/>
        <v>4.1715770346329686E-2</v>
      </c>
      <c r="X84" s="6">
        <f t="shared" si="36"/>
        <v>3.2960123205783967E-2</v>
      </c>
      <c r="Y84" s="6">
        <f t="shared" si="36"/>
        <v>3.0565824642389078E-2</v>
      </c>
      <c r="Z84" s="6">
        <f t="shared" si="36"/>
        <v>4.3059937612031529E-2</v>
      </c>
      <c r="AA84" s="6">
        <f t="shared" si="36"/>
        <v>3.109065970580812E-2</v>
      </c>
      <c r="AB84" s="6">
        <f t="shared" si="36"/>
        <v>3.3557810666510889E-2</v>
      </c>
      <c r="AC84" s="6">
        <f t="shared" si="36"/>
        <v>3.1511575139338104E-2</v>
      </c>
      <c r="AD84" s="6">
        <f t="shared" si="36"/>
        <v>4.2076952451397247E-2</v>
      </c>
      <c r="AE84" s="6">
        <f t="shared" si="36"/>
        <v>3.4873130852355411E-2</v>
      </c>
      <c r="AF84" s="6">
        <f t="shared" si="36"/>
        <v>4.9835866870142805E-2</v>
      </c>
    </row>
    <row r="85" spans="4:32" x14ac:dyDescent="0.55000000000000004">
      <c r="D85" s="3">
        <v>10</v>
      </c>
      <c r="E85" s="6">
        <f t="shared" ref="E85:AF85" si="37">E50/$AG50</f>
        <v>4.665212445183816E-2</v>
      </c>
      <c r="F85" s="6">
        <f t="shared" si="37"/>
        <v>3.3507857597910168E-2</v>
      </c>
      <c r="G85" s="6">
        <f t="shared" si="37"/>
        <v>3.8074747476301671E-2</v>
      </c>
      <c r="H85" s="6">
        <f t="shared" si="37"/>
        <v>3.3079272126712425E-2</v>
      </c>
      <c r="I85" s="6">
        <f t="shared" si="37"/>
        <v>4.3940804088806157E-2</v>
      </c>
      <c r="J85" s="6">
        <f t="shared" si="37"/>
        <v>3.7922180049409351E-2</v>
      </c>
      <c r="K85" s="6">
        <f t="shared" si="37"/>
        <v>4.8121307697163773E-2</v>
      </c>
      <c r="L85" s="6">
        <f t="shared" si="37"/>
        <v>2.5218106955759698E-2</v>
      </c>
      <c r="M85" s="6">
        <f t="shared" si="37"/>
        <v>5.3878845682203448E-2</v>
      </c>
      <c r="N85" s="6">
        <f t="shared" si="37"/>
        <v>3.764186517489318E-2</v>
      </c>
      <c r="O85" s="6">
        <f t="shared" si="37"/>
        <v>4.0840060165217539E-2</v>
      </c>
      <c r="P85" s="6">
        <f t="shared" si="37"/>
        <v>4.2247879639173563E-2</v>
      </c>
      <c r="Q85" s="6">
        <f t="shared" si="37"/>
        <v>3.6904594905882403E-2</v>
      </c>
      <c r="R85" s="6">
        <f t="shared" si="37"/>
        <v>3.4058637329378111E-2</v>
      </c>
      <c r="S85" s="6">
        <f t="shared" si="37"/>
        <v>2.0564209595432766E-2</v>
      </c>
      <c r="T85" s="6">
        <f t="shared" si="37"/>
        <v>2.8296059834376767E-2</v>
      </c>
      <c r="U85" s="6">
        <f t="shared" si="37"/>
        <v>3.2850552592832545E-2</v>
      </c>
      <c r="V85" s="6">
        <f t="shared" si="37"/>
        <v>4.4365873830583137E-2</v>
      </c>
      <c r="W85" s="6">
        <f t="shared" si="37"/>
        <v>2.7730280264673782E-2</v>
      </c>
      <c r="X85" s="6">
        <f t="shared" si="37"/>
        <v>2.5102595985047101E-2</v>
      </c>
      <c r="Y85" s="6">
        <f t="shared" si="37"/>
        <v>2.0341758995216321E-2</v>
      </c>
      <c r="Z85" s="6">
        <f t="shared" si="37"/>
        <v>2.7929443822367322E-2</v>
      </c>
      <c r="AA85" s="6">
        <f t="shared" si="37"/>
        <v>3.105135250874896E-2</v>
      </c>
      <c r="AB85" s="6">
        <f t="shared" si="37"/>
        <v>2.8532938777389626E-2</v>
      </c>
      <c r="AC85" s="6">
        <f t="shared" si="37"/>
        <v>2.8125076105345332E-2</v>
      </c>
      <c r="AD85" s="6">
        <f t="shared" si="37"/>
        <v>2.4337531536320237E-2</v>
      </c>
      <c r="AE85" s="6">
        <f t="shared" si="37"/>
        <v>3.8355117714648057E-2</v>
      </c>
      <c r="AF85" s="6">
        <f t="shared" si="37"/>
        <v>7.0328925096368178E-2</v>
      </c>
    </row>
    <row r="86" spans="4:32" x14ac:dyDescent="0.55000000000000004">
      <c r="D86" s="3">
        <v>11</v>
      </c>
      <c r="E86" s="6">
        <f t="shared" ref="E86:AF86" si="38">E51/$AG51</f>
        <v>4.4532278264948051E-2</v>
      </c>
      <c r="F86" s="6">
        <f t="shared" si="38"/>
        <v>3.3616841634016272E-2</v>
      </c>
      <c r="G86" s="6">
        <f t="shared" si="38"/>
        <v>3.7376452001639693E-2</v>
      </c>
      <c r="H86" s="6">
        <f t="shared" si="38"/>
        <v>3.5421599183351013E-2</v>
      </c>
      <c r="I86" s="6">
        <f t="shared" si="38"/>
        <v>4.07718902905344E-2</v>
      </c>
      <c r="J86" s="6">
        <f t="shared" si="38"/>
        <v>3.81535566143738E-2</v>
      </c>
      <c r="K86" s="6">
        <f t="shared" si="38"/>
        <v>4.3432711591168918E-2</v>
      </c>
      <c r="L86" s="6">
        <f t="shared" si="38"/>
        <v>2.7076938303956324E-2</v>
      </c>
      <c r="M86" s="6">
        <f t="shared" si="38"/>
        <v>4.9547221300162196E-2</v>
      </c>
      <c r="N86" s="6">
        <f t="shared" si="38"/>
        <v>3.873848767708226E-2</v>
      </c>
      <c r="O86" s="6">
        <f t="shared" si="38"/>
        <v>3.9356674547742235E-2</v>
      </c>
      <c r="P86" s="6">
        <f t="shared" si="38"/>
        <v>4.2602135473226319E-2</v>
      </c>
      <c r="Q86" s="6">
        <f t="shared" si="38"/>
        <v>3.9107265983165829E-2</v>
      </c>
      <c r="R86" s="6">
        <f t="shared" si="38"/>
        <v>3.6610796399401693E-2</v>
      </c>
      <c r="S86" s="6">
        <f t="shared" si="38"/>
        <v>2.1111416922002729E-2</v>
      </c>
      <c r="T86" s="6">
        <f t="shared" si="38"/>
        <v>3.005655220072E-2</v>
      </c>
      <c r="U86" s="6">
        <f t="shared" si="38"/>
        <v>3.3578201128934684E-2</v>
      </c>
      <c r="V86" s="6">
        <f t="shared" si="38"/>
        <v>4.4352305006691919E-2</v>
      </c>
      <c r="W86" s="6">
        <f t="shared" si="38"/>
        <v>2.9253519186188189E-2</v>
      </c>
      <c r="X86" s="6">
        <f t="shared" si="38"/>
        <v>2.5863282027272876E-2</v>
      </c>
      <c r="Y86" s="6">
        <f t="shared" si="38"/>
        <v>2.1177745304106224E-2</v>
      </c>
      <c r="Z86" s="6">
        <f t="shared" si="38"/>
        <v>2.9306820792917684E-2</v>
      </c>
      <c r="AA86" s="6">
        <f t="shared" si="38"/>
        <v>3.0653853502484153E-2</v>
      </c>
      <c r="AB86" s="6">
        <f t="shared" si="38"/>
        <v>2.9430544997233271E-2</v>
      </c>
      <c r="AC86" s="6">
        <f t="shared" si="38"/>
        <v>2.8342492505926811E-2</v>
      </c>
      <c r="AD86" s="6">
        <f t="shared" si="38"/>
        <v>2.5916076242670234E-2</v>
      </c>
      <c r="AE86" s="6">
        <f t="shared" si="38"/>
        <v>4.0711694303366339E-2</v>
      </c>
      <c r="AF86" s="6">
        <f t="shared" si="38"/>
        <v>6.390064661471602E-2</v>
      </c>
    </row>
    <row r="87" spans="4:32" x14ac:dyDescent="0.55000000000000004">
      <c r="D87" s="3">
        <v>12</v>
      </c>
      <c r="E87" s="6">
        <f t="shared" ref="E87:AF87" si="39">E52/$AG52</f>
        <v>4.4685692087363171E-2</v>
      </c>
      <c r="F87" s="6">
        <f t="shared" si="39"/>
        <v>3.274372572625367E-2</v>
      </c>
      <c r="G87" s="6">
        <f t="shared" si="39"/>
        <v>3.6961637958465091E-2</v>
      </c>
      <c r="H87" s="6">
        <f t="shared" si="39"/>
        <v>3.3467876316429848E-2</v>
      </c>
      <c r="I87" s="6">
        <f t="shared" si="39"/>
        <v>4.1795879697813676E-2</v>
      </c>
      <c r="J87" s="6">
        <f t="shared" si="39"/>
        <v>3.7455814671953358E-2</v>
      </c>
      <c r="K87" s="6">
        <f t="shared" si="39"/>
        <v>4.5503582669657643E-2</v>
      </c>
      <c r="L87" s="6">
        <f t="shared" si="39"/>
        <v>2.582774657911116E-2</v>
      </c>
      <c r="M87" s="6">
        <f t="shared" si="39"/>
        <v>5.2264646264614981E-2</v>
      </c>
      <c r="N87" s="6">
        <f t="shared" si="39"/>
        <v>3.8264132258656117E-2</v>
      </c>
      <c r="O87" s="6">
        <f t="shared" si="39"/>
        <v>4.1022894906912057E-2</v>
      </c>
      <c r="P87" s="6">
        <f t="shared" si="39"/>
        <v>4.3195238222753653E-2</v>
      </c>
      <c r="Q87" s="6">
        <f t="shared" si="39"/>
        <v>3.789362010088896E-2</v>
      </c>
      <c r="R87" s="6">
        <f t="shared" si="39"/>
        <v>3.4624622532150907E-2</v>
      </c>
      <c r="S87" s="6">
        <f t="shared" si="39"/>
        <v>2.1033149964911992E-2</v>
      </c>
      <c r="T87" s="6">
        <f t="shared" si="39"/>
        <v>2.9060154155206297E-2</v>
      </c>
      <c r="U87" s="6">
        <f t="shared" si="39"/>
        <v>3.3616296452303136E-2</v>
      </c>
      <c r="V87" s="6">
        <f t="shared" si="39"/>
        <v>4.5116510358321517E-2</v>
      </c>
      <c r="W87" s="6">
        <f t="shared" si="39"/>
        <v>2.8483679178814714E-2</v>
      </c>
      <c r="X87" s="6">
        <f t="shared" si="39"/>
        <v>2.5702338059719401E-2</v>
      </c>
      <c r="Y87" s="6">
        <f t="shared" si="39"/>
        <v>2.0862507799689008E-2</v>
      </c>
      <c r="Z87" s="6">
        <f t="shared" si="39"/>
        <v>2.8675888934021593E-2</v>
      </c>
      <c r="AA87" s="6">
        <f t="shared" si="39"/>
        <v>3.1423460475841235E-2</v>
      </c>
      <c r="AB87" s="6">
        <f t="shared" si="39"/>
        <v>2.9234904729777949E-2</v>
      </c>
      <c r="AC87" s="6">
        <f t="shared" si="39"/>
        <v>2.8645729167440591E-2</v>
      </c>
      <c r="AD87" s="6">
        <f t="shared" si="39"/>
        <v>2.4993104400694431E-2</v>
      </c>
      <c r="AE87" s="6">
        <f t="shared" si="39"/>
        <v>3.9345360435790074E-2</v>
      </c>
      <c r="AF87" s="6">
        <f t="shared" si="39"/>
        <v>6.8099805894443699E-2</v>
      </c>
    </row>
    <row r="88" spans="4:32" x14ac:dyDescent="0.55000000000000004">
      <c r="D88" s="3">
        <v>13</v>
      </c>
      <c r="E88" s="6">
        <f t="shared" ref="E88:AF88" si="40">E53/$AG53</f>
        <v>3.97288023274271E-2</v>
      </c>
      <c r="F88" s="6">
        <f t="shared" si="40"/>
        <v>2.9639031488785449E-2</v>
      </c>
      <c r="G88" s="6">
        <f t="shared" si="40"/>
        <v>3.3103404235118629E-2</v>
      </c>
      <c r="H88" s="6">
        <f t="shared" si="40"/>
        <v>3.2313271367016401E-2</v>
      </c>
      <c r="I88" s="6">
        <f t="shared" si="40"/>
        <v>3.7109252204093612E-2</v>
      </c>
      <c r="J88" s="6">
        <f t="shared" si="40"/>
        <v>3.379250134160347E-2</v>
      </c>
      <c r="K88" s="6">
        <f t="shared" si="40"/>
        <v>4.0615916592366609E-2</v>
      </c>
      <c r="L88" s="6">
        <f t="shared" si="40"/>
        <v>2.7214587211205944E-2</v>
      </c>
      <c r="M88" s="6">
        <f t="shared" si="40"/>
        <v>4.6610755726330014E-2</v>
      </c>
      <c r="N88" s="6">
        <f t="shared" si="40"/>
        <v>3.5707909686010481E-2</v>
      </c>
      <c r="O88" s="6">
        <f t="shared" si="40"/>
        <v>3.7238781216868196E-2</v>
      </c>
      <c r="P88" s="6">
        <f t="shared" si="40"/>
        <v>4.5854373788207614E-2</v>
      </c>
      <c r="Q88" s="6">
        <f t="shared" si="40"/>
        <v>3.9709721194444117E-2</v>
      </c>
      <c r="R88" s="6">
        <f t="shared" si="40"/>
        <v>3.4804887561112836E-2</v>
      </c>
      <c r="S88" s="6">
        <f t="shared" si="40"/>
        <v>2.3532414803981376E-2</v>
      </c>
      <c r="T88" s="6">
        <f t="shared" si="40"/>
        <v>3.1341159198693215E-2</v>
      </c>
      <c r="U88" s="6">
        <f t="shared" si="40"/>
        <v>3.7595163961441309E-2</v>
      </c>
      <c r="V88" s="6">
        <f t="shared" si="40"/>
        <v>5.0297331503446521E-2</v>
      </c>
      <c r="W88" s="6">
        <f t="shared" si="40"/>
        <v>3.1293707033114508E-2</v>
      </c>
      <c r="X88" s="6">
        <f t="shared" si="40"/>
        <v>2.8726378842923204E-2</v>
      </c>
      <c r="Y88" s="6">
        <f t="shared" si="40"/>
        <v>2.3234745846274791E-2</v>
      </c>
      <c r="Z88" s="6">
        <f t="shared" si="40"/>
        <v>3.1742882407859448E-2</v>
      </c>
      <c r="AA88" s="6">
        <f t="shared" si="40"/>
        <v>3.4789034066040406E-2</v>
      </c>
      <c r="AB88" s="6">
        <f t="shared" si="40"/>
        <v>3.2627037770053317E-2</v>
      </c>
      <c r="AC88" s="6">
        <f t="shared" si="40"/>
        <v>3.2023801528249664E-2</v>
      </c>
      <c r="AD88" s="6">
        <f t="shared" si="40"/>
        <v>2.7119188066606372E-2</v>
      </c>
      <c r="AE88" s="6">
        <f t="shared" si="40"/>
        <v>3.950528751457931E-2</v>
      </c>
      <c r="AF88" s="6">
        <f t="shared" si="40"/>
        <v>6.2728671516145931E-2</v>
      </c>
    </row>
    <row r="89" spans="4:32" x14ac:dyDescent="0.55000000000000004">
      <c r="D89" s="3">
        <v>14</v>
      </c>
      <c r="E89" s="6">
        <f t="shared" ref="E89:AF89" si="41">E54/$AG54</f>
        <v>3.9819069970688098E-2</v>
      </c>
      <c r="F89" s="6">
        <f t="shared" si="41"/>
        <v>3.0637171986724235E-2</v>
      </c>
      <c r="G89" s="6">
        <f t="shared" si="41"/>
        <v>3.3525587140585858E-2</v>
      </c>
      <c r="H89" s="6">
        <f t="shared" si="41"/>
        <v>3.4689413103850576E-2</v>
      </c>
      <c r="I89" s="6">
        <f t="shared" si="41"/>
        <v>3.6350175881707802E-2</v>
      </c>
      <c r="J89" s="6">
        <f t="shared" si="41"/>
        <v>3.4084909256119497E-2</v>
      </c>
      <c r="K89" s="6">
        <f t="shared" si="41"/>
        <v>3.9071040583227933E-2</v>
      </c>
      <c r="L89" s="6">
        <f t="shared" si="41"/>
        <v>2.9511810599523344E-2</v>
      </c>
      <c r="M89" s="6">
        <f t="shared" si="41"/>
        <v>4.4828963737920932E-2</v>
      </c>
      <c r="N89" s="6">
        <f t="shared" si="41"/>
        <v>3.6090054996674427E-2</v>
      </c>
      <c r="O89" s="6">
        <f t="shared" si="41"/>
        <v>3.5968531907997515E-2</v>
      </c>
      <c r="P89" s="6">
        <f t="shared" si="41"/>
        <v>4.3721380665338233E-2</v>
      </c>
      <c r="Q89" s="6">
        <f t="shared" si="41"/>
        <v>4.1248625524933476E-2</v>
      </c>
      <c r="R89" s="6">
        <f t="shared" si="41"/>
        <v>3.8172709241365524E-2</v>
      </c>
      <c r="S89" s="6">
        <f t="shared" si="41"/>
        <v>2.3338158912374792E-2</v>
      </c>
      <c r="T89" s="6">
        <f t="shared" si="41"/>
        <v>3.3392757746352926E-2</v>
      </c>
      <c r="U89" s="6">
        <f t="shared" si="41"/>
        <v>3.6494809409945837E-2</v>
      </c>
      <c r="V89" s="6">
        <f t="shared" si="41"/>
        <v>4.7335400595357298E-2</v>
      </c>
      <c r="W89" s="6">
        <f t="shared" si="41"/>
        <v>3.2578040025154527E-2</v>
      </c>
      <c r="X89" s="6">
        <f t="shared" si="41"/>
        <v>2.8606991400919147E-2</v>
      </c>
      <c r="Y89" s="6">
        <f t="shared" si="41"/>
        <v>2.3556689669635561E-2</v>
      </c>
      <c r="Z89" s="6">
        <f t="shared" si="41"/>
        <v>3.2641554106821374E-2</v>
      </c>
      <c r="AA89" s="6">
        <f t="shared" si="41"/>
        <v>3.2501074246544102E-2</v>
      </c>
      <c r="AB89" s="6">
        <f t="shared" si="41"/>
        <v>3.2464281121465259E-2</v>
      </c>
      <c r="AC89" s="6">
        <f t="shared" si="41"/>
        <v>3.07567487749856E-2</v>
      </c>
      <c r="AD89" s="6">
        <f t="shared" si="41"/>
        <v>2.8725833576964597E-2</v>
      </c>
      <c r="AE89" s="6">
        <f t="shared" si="41"/>
        <v>4.0948506672054769E-2</v>
      </c>
      <c r="AF89" s="6">
        <f t="shared" si="41"/>
        <v>5.8939709144766712E-2</v>
      </c>
    </row>
    <row r="90" spans="4:32" x14ac:dyDescent="0.55000000000000004">
      <c r="D90" s="3">
        <v>15</v>
      </c>
      <c r="E90" s="6">
        <f t="shared" ref="E90:AF90" si="42">E55/$AG55</f>
        <v>4.1456947177476992E-2</v>
      </c>
      <c r="F90" s="6">
        <f t="shared" si="42"/>
        <v>3.333430581473814E-2</v>
      </c>
      <c r="G90" s="6">
        <f t="shared" si="42"/>
        <v>3.4393568040712502E-2</v>
      </c>
      <c r="H90" s="6">
        <f t="shared" si="42"/>
        <v>3.6956785527643414E-2</v>
      </c>
      <c r="I90" s="6">
        <f t="shared" si="42"/>
        <v>3.5551351462041691E-2</v>
      </c>
      <c r="J90" s="6">
        <f t="shared" si="42"/>
        <v>3.3455181296541278E-2</v>
      </c>
      <c r="K90" s="6">
        <f t="shared" si="42"/>
        <v>3.6821524215022182E-2</v>
      </c>
      <c r="L90" s="6">
        <f t="shared" si="42"/>
        <v>3.7029676966909772E-2</v>
      </c>
      <c r="M90" s="6">
        <f t="shared" si="42"/>
        <v>4.1783380774172284E-2</v>
      </c>
      <c r="N90" s="6">
        <f t="shared" si="42"/>
        <v>3.4122222946500615E-2</v>
      </c>
      <c r="O90" s="6">
        <f t="shared" si="42"/>
        <v>3.3192480899336234E-2</v>
      </c>
      <c r="P90" s="6">
        <f t="shared" si="42"/>
        <v>3.8702170020179248E-2</v>
      </c>
      <c r="Q90" s="6">
        <f t="shared" si="42"/>
        <v>3.8552365937264008E-2</v>
      </c>
      <c r="R90" s="6">
        <f t="shared" si="42"/>
        <v>5.0112948130858051E-2</v>
      </c>
      <c r="S90" s="6">
        <f t="shared" si="42"/>
        <v>2.3770684347306281E-2</v>
      </c>
      <c r="T90" s="6">
        <f t="shared" si="42"/>
        <v>3.4984904600887497E-2</v>
      </c>
      <c r="U90" s="6">
        <f t="shared" si="42"/>
        <v>3.338777020280817E-2</v>
      </c>
      <c r="V90" s="6">
        <f t="shared" si="42"/>
        <v>4.2975856073433627E-2</v>
      </c>
      <c r="W90" s="6">
        <f t="shared" si="42"/>
        <v>3.5336862104404301E-2</v>
      </c>
      <c r="X90" s="6">
        <f t="shared" si="42"/>
        <v>2.8688116314979688E-2</v>
      </c>
      <c r="Y90" s="6">
        <f t="shared" si="42"/>
        <v>2.5168390736752505E-2</v>
      </c>
      <c r="Z90" s="6">
        <f t="shared" si="42"/>
        <v>3.549054316718421E-2</v>
      </c>
      <c r="AA90" s="6">
        <f t="shared" si="42"/>
        <v>2.9570834993841198E-2</v>
      </c>
      <c r="AB90" s="6">
        <f t="shared" si="42"/>
        <v>3.1181275528391363E-2</v>
      </c>
      <c r="AC90" s="6">
        <f t="shared" si="42"/>
        <v>2.8937993084445921E-2</v>
      </c>
      <c r="AD90" s="6">
        <f t="shared" si="42"/>
        <v>3.3777215290131668E-2</v>
      </c>
      <c r="AE90" s="6">
        <f t="shared" si="42"/>
        <v>3.7380499748116414E-2</v>
      </c>
      <c r="AF90" s="6">
        <f t="shared" si="42"/>
        <v>5.3884144597920874E-2</v>
      </c>
    </row>
    <row r="91" spans="4:32" x14ac:dyDescent="0.55000000000000004">
      <c r="D91" s="3">
        <v>16</v>
      </c>
      <c r="E91" s="6">
        <f t="shared" ref="E91:AF91" si="43">E56/$AG56</f>
        <v>2.9821645263836238E-2</v>
      </c>
      <c r="F91" s="6">
        <f t="shared" si="43"/>
        <v>2.2875196035470204E-2</v>
      </c>
      <c r="G91" s="6">
        <f t="shared" si="43"/>
        <v>2.5047388760046554E-2</v>
      </c>
      <c r="H91" s="6">
        <f t="shared" si="43"/>
        <v>2.6267178156819383E-2</v>
      </c>
      <c r="I91" s="6">
        <f t="shared" si="43"/>
        <v>2.7685540712891192E-2</v>
      </c>
      <c r="J91" s="6">
        <f t="shared" si="43"/>
        <v>2.5546445330973121E-2</v>
      </c>
      <c r="K91" s="6">
        <f t="shared" si="43"/>
        <v>3.0315462048314073E-2</v>
      </c>
      <c r="L91" s="6">
        <f t="shared" si="43"/>
        <v>3.1406377612899126E-2</v>
      </c>
      <c r="M91" s="6">
        <f t="shared" si="43"/>
        <v>3.4769803027176756E-2</v>
      </c>
      <c r="N91" s="6">
        <f t="shared" si="43"/>
        <v>2.711811028754027E-2</v>
      </c>
      <c r="O91" s="6">
        <f t="shared" si="43"/>
        <v>2.7788997833610905E-2</v>
      </c>
      <c r="P91" s="6">
        <f t="shared" si="43"/>
        <v>3.6064131385867566E-2</v>
      </c>
      <c r="Q91" s="6">
        <f t="shared" si="43"/>
        <v>3.2484676342154829E-2</v>
      </c>
      <c r="R91" s="6">
        <f t="shared" si="43"/>
        <v>3.2760881976481381E-2</v>
      </c>
      <c r="S91" s="6">
        <f t="shared" si="43"/>
        <v>4.819826495573843E-2</v>
      </c>
      <c r="T91" s="6">
        <f t="shared" si="43"/>
        <v>3.1999285709788425E-2</v>
      </c>
      <c r="U91" s="6">
        <f t="shared" si="43"/>
        <v>3.5419746699266896E-2</v>
      </c>
      <c r="V91" s="6">
        <f t="shared" si="43"/>
        <v>5.0912928074453669E-2</v>
      </c>
      <c r="W91" s="6">
        <f t="shared" si="43"/>
        <v>4.215918112366427E-2</v>
      </c>
      <c r="X91" s="6">
        <f t="shared" si="43"/>
        <v>4.4980487336215187E-2</v>
      </c>
      <c r="Y91" s="6">
        <f t="shared" si="43"/>
        <v>4.7567139727453307E-2</v>
      </c>
      <c r="Z91" s="6">
        <f t="shared" si="43"/>
        <v>5.3881267781105691E-2</v>
      </c>
      <c r="AA91" s="6">
        <f t="shared" si="43"/>
        <v>3.9587265211854676E-2</v>
      </c>
      <c r="AB91" s="6">
        <f t="shared" si="43"/>
        <v>3.6539208187934859E-2</v>
      </c>
      <c r="AC91" s="6">
        <f t="shared" si="43"/>
        <v>4.1562627288069857E-2</v>
      </c>
      <c r="AD91" s="6">
        <f t="shared" si="43"/>
        <v>3.9396421250838198E-2</v>
      </c>
      <c r="AE91" s="6">
        <f t="shared" si="43"/>
        <v>3.0719132869644287E-2</v>
      </c>
      <c r="AF91" s="6">
        <f t="shared" si="43"/>
        <v>4.7125209009890742E-2</v>
      </c>
    </row>
    <row r="92" spans="4:32" x14ac:dyDescent="0.55000000000000004">
      <c r="D92" s="3">
        <v>17</v>
      </c>
      <c r="E92" s="6">
        <f t="shared" ref="E92:AF92" si="44">E57/$AG57</f>
        <v>3.6178549964211583E-2</v>
      </c>
      <c r="F92" s="6">
        <f t="shared" si="44"/>
        <v>2.8342408053518533E-2</v>
      </c>
      <c r="G92" s="6">
        <f t="shared" si="44"/>
        <v>3.0487363941967553E-2</v>
      </c>
      <c r="H92" s="6">
        <f t="shared" si="44"/>
        <v>3.2730442259614502E-2</v>
      </c>
      <c r="I92" s="6">
        <f t="shared" si="44"/>
        <v>3.2680095778429015E-2</v>
      </c>
      <c r="J92" s="6">
        <f t="shared" si="44"/>
        <v>3.0784708849801588E-2</v>
      </c>
      <c r="K92" s="6">
        <f t="shared" si="44"/>
        <v>3.5052568814113387E-2</v>
      </c>
      <c r="L92" s="6">
        <f t="shared" si="44"/>
        <v>3.4622868421687956E-2</v>
      </c>
      <c r="M92" s="6">
        <f t="shared" si="44"/>
        <v>4.0225064678052418E-2</v>
      </c>
      <c r="N92" s="6">
        <f t="shared" si="44"/>
        <v>3.2460991301258714E-2</v>
      </c>
      <c r="O92" s="6">
        <f t="shared" si="44"/>
        <v>3.2281005775967327E-2</v>
      </c>
      <c r="P92" s="6">
        <f t="shared" si="44"/>
        <v>4.0383561184398009E-2</v>
      </c>
      <c r="Q92" s="6">
        <f t="shared" si="44"/>
        <v>3.907912358648305E-2</v>
      </c>
      <c r="R92" s="6">
        <f t="shared" si="44"/>
        <v>4.0539199738574568E-2</v>
      </c>
      <c r="S92" s="6">
        <f t="shared" si="44"/>
        <v>2.6904248226758441E-2</v>
      </c>
      <c r="T92" s="6">
        <f t="shared" si="44"/>
        <v>3.6624165333941694E-2</v>
      </c>
      <c r="U92" s="6">
        <f t="shared" si="44"/>
        <v>3.7239093156531164E-2</v>
      </c>
      <c r="V92" s="6">
        <f t="shared" si="44"/>
        <v>4.8224756078190538E-2</v>
      </c>
      <c r="W92" s="6">
        <f t="shared" si="44"/>
        <v>3.8964976367285187E-2</v>
      </c>
      <c r="X92" s="6">
        <f t="shared" si="44"/>
        <v>3.2759319968397316E-2</v>
      </c>
      <c r="Y92" s="6">
        <f t="shared" si="44"/>
        <v>2.7802231876016048E-2</v>
      </c>
      <c r="Z92" s="6">
        <f t="shared" si="44"/>
        <v>3.8865310847469775E-2</v>
      </c>
      <c r="AA92" s="6">
        <f t="shared" si="44"/>
        <v>3.3441073861498929E-2</v>
      </c>
      <c r="AB92" s="6">
        <f t="shared" si="44"/>
        <v>3.574497145995853E-2</v>
      </c>
      <c r="AC92" s="6">
        <f t="shared" si="44"/>
        <v>3.3175209685430349E-2</v>
      </c>
      <c r="AD92" s="6">
        <f t="shared" si="44"/>
        <v>3.4571194305249874E-2</v>
      </c>
      <c r="AE92" s="6">
        <f t="shared" si="44"/>
        <v>3.6759658254767985E-2</v>
      </c>
      <c r="AF92" s="6">
        <f t="shared" si="44"/>
        <v>5.3075838230426206E-2</v>
      </c>
    </row>
    <row r="93" spans="4:32" x14ac:dyDescent="0.55000000000000004">
      <c r="D93" s="3">
        <v>18</v>
      </c>
      <c r="E93" s="6">
        <f t="shared" ref="E93:AF93" si="45">E58/$AG58</f>
        <v>3.6087062011680208E-2</v>
      </c>
      <c r="F93" s="6">
        <f t="shared" si="45"/>
        <v>2.7297466838099176E-2</v>
      </c>
      <c r="G93" s="6">
        <f t="shared" si="45"/>
        <v>3.0212181623647267E-2</v>
      </c>
      <c r="H93" s="6">
        <f t="shared" si="45"/>
        <v>3.0705463657938702E-2</v>
      </c>
      <c r="I93" s="6">
        <f t="shared" si="45"/>
        <v>3.3582312278293086E-2</v>
      </c>
      <c r="J93" s="6">
        <f t="shared" si="45"/>
        <v>3.0853815076571652E-2</v>
      </c>
      <c r="K93" s="6">
        <f t="shared" si="45"/>
        <v>3.6732437051733673E-2</v>
      </c>
      <c r="L93" s="6">
        <f t="shared" si="45"/>
        <v>2.8986424742857928E-2</v>
      </c>
      <c r="M93" s="6">
        <f t="shared" si="45"/>
        <v>4.2154650397296163E-2</v>
      </c>
      <c r="N93" s="6">
        <f t="shared" si="45"/>
        <v>3.2734979251889278E-2</v>
      </c>
      <c r="O93" s="6">
        <f t="shared" si="45"/>
        <v>3.370784865689222E-2</v>
      </c>
      <c r="P93" s="6">
        <f t="shared" si="45"/>
        <v>4.37273912617967E-2</v>
      </c>
      <c r="Q93" s="6">
        <f t="shared" si="45"/>
        <v>3.8552776010779562E-2</v>
      </c>
      <c r="R93" s="6">
        <f t="shared" si="45"/>
        <v>3.4923191034160327E-2</v>
      </c>
      <c r="S93" s="6">
        <f t="shared" si="45"/>
        <v>2.6881781999248462E-2</v>
      </c>
      <c r="T93" s="6">
        <f t="shared" si="45"/>
        <v>3.3614845779824966E-2</v>
      </c>
      <c r="U93" s="6">
        <f t="shared" si="45"/>
        <v>3.8269657252207961E-2</v>
      </c>
      <c r="V93" s="6">
        <f t="shared" si="45"/>
        <v>5.5302129065776195E-2</v>
      </c>
      <c r="W93" s="6">
        <f t="shared" si="45"/>
        <v>3.5079833039539376E-2</v>
      </c>
      <c r="X93" s="6">
        <f t="shared" si="45"/>
        <v>3.2828462822418733E-2</v>
      </c>
      <c r="Y93" s="6">
        <f t="shared" si="45"/>
        <v>2.6510259475092883E-2</v>
      </c>
      <c r="Z93" s="6">
        <f t="shared" si="45"/>
        <v>3.600342986956704E-2</v>
      </c>
      <c r="AA93" s="6">
        <f t="shared" si="45"/>
        <v>3.801154419032627E-2</v>
      </c>
      <c r="AB93" s="6">
        <f t="shared" si="45"/>
        <v>3.7227953157860948E-2</v>
      </c>
      <c r="AC93" s="6">
        <f t="shared" si="45"/>
        <v>3.6170841400248947E-2</v>
      </c>
      <c r="AD93" s="6">
        <f t="shared" si="45"/>
        <v>3.0066338029933821E-2</v>
      </c>
      <c r="AE93" s="6">
        <f t="shared" si="45"/>
        <v>3.690104269899018E-2</v>
      </c>
      <c r="AF93" s="6">
        <f t="shared" si="45"/>
        <v>5.6873881325328057E-2</v>
      </c>
    </row>
    <row r="94" spans="4:32" x14ac:dyDescent="0.55000000000000004">
      <c r="D94" s="3">
        <v>19</v>
      </c>
      <c r="E94" s="6">
        <f t="shared" ref="E94:AF94" si="46">E59/$AG59</f>
        <v>3.5363431532938916E-2</v>
      </c>
      <c r="F94" s="6">
        <f t="shared" si="46"/>
        <v>2.6343247457547913E-2</v>
      </c>
      <c r="G94" s="6">
        <f t="shared" si="46"/>
        <v>2.9396830978137122E-2</v>
      </c>
      <c r="H94" s="6">
        <f t="shared" si="46"/>
        <v>2.9248110657205739E-2</v>
      </c>
      <c r="I94" s="6">
        <f t="shared" si="46"/>
        <v>3.3208430641641418E-2</v>
      </c>
      <c r="J94" s="6">
        <f t="shared" si="46"/>
        <v>3.0005529419915775E-2</v>
      </c>
      <c r="K94" s="6">
        <f t="shared" si="46"/>
        <v>3.6539343299000104E-2</v>
      </c>
      <c r="L94" s="6">
        <f t="shared" si="46"/>
        <v>2.7669656475672832E-2</v>
      </c>
      <c r="M94" s="6">
        <f t="shared" si="46"/>
        <v>4.1780602578366959E-2</v>
      </c>
      <c r="N94" s="6">
        <f t="shared" si="46"/>
        <v>3.1731725304749096E-2</v>
      </c>
      <c r="O94" s="6">
        <f t="shared" si="46"/>
        <v>3.3200109651586228E-2</v>
      </c>
      <c r="P94" s="6">
        <f t="shared" si="46"/>
        <v>4.2932816147495931E-2</v>
      </c>
      <c r="Q94" s="6">
        <f t="shared" si="46"/>
        <v>3.6697244800100157E-2</v>
      </c>
      <c r="R94" s="6">
        <f t="shared" si="46"/>
        <v>3.2989359783636825E-2</v>
      </c>
      <c r="S94" s="6">
        <f t="shared" si="46"/>
        <v>2.8357211697130718E-2</v>
      </c>
      <c r="T94" s="6">
        <f t="shared" si="46"/>
        <v>3.1946619800192873E-2</v>
      </c>
      <c r="U94" s="6">
        <f t="shared" si="46"/>
        <v>4.0584920391077466E-2</v>
      </c>
      <c r="V94" s="6">
        <f t="shared" si="46"/>
        <v>5.8799702123492788E-2</v>
      </c>
      <c r="W94" s="6">
        <f t="shared" si="46"/>
        <v>3.4541868870315511E-2</v>
      </c>
      <c r="X94" s="6">
        <f t="shared" si="46"/>
        <v>3.4103208769528569E-2</v>
      </c>
      <c r="Y94" s="6">
        <f t="shared" si="46"/>
        <v>2.7323331712479925E-2</v>
      </c>
      <c r="Z94" s="6">
        <f t="shared" si="46"/>
        <v>3.63365157318596E-2</v>
      </c>
      <c r="AA94" s="6">
        <f t="shared" si="46"/>
        <v>4.2537986582804693E-2</v>
      </c>
      <c r="AB94" s="6">
        <f t="shared" si="46"/>
        <v>3.7136543271847879E-2</v>
      </c>
      <c r="AC94" s="6">
        <f t="shared" si="46"/>
        <v>3.9246107945034393E-2</v>
      </c>
      <c r="AD94" s="6">
        <f t="shared" si="46"/>
        <v>2.9441548137655583E-2</v>
      </c>
      <c r="AE94" s="6">
        <f t="shared" si="46"/>
        <v>3.5467705516017134E-2</v>
      </c>
      <c r="AF94" s="6">
        <f t="shared" si="46"/>
        <v>5.7070290722568001E-2</v>
      </c>
    </row>
    <row r="95" spans="4:32" x14ac:dyDescent="0.55000000000000004">
      <c r="D95" s="3">
        <v>20</v>
      </c>
      <c r="E95" s="6">
        <f t="shared" ref="E95:AF95" si="47">E60/$AG60</f>
        <v>3.2533888089215854E-2</v>
      </c>
      <c r="F95" s="6">
        <f t="shared" si="47"/>
        <v>2.5508204780962874E-2</v>
      </c>
      <c r="G95" s="6">
        <f t="shared" si="47"/>
        <v>2.7417668916336596E-2</v>
      </c>
      <c r="H95" s="6">
        <f t="shared" si="47"/>
        <v>2.9464397100359623E-2</v>
      </c>
      <c r="I95" s="6">
        <f t="shared" si="47"/>
        <v>2.9510999449013187E-2</v>
      </c>
      <c r="J95" s="6">
        <f t="shared" si="47"/>
        <v>2.7729983276055532E-2</v>
      </c>
      <c r="K95" s="6">
        <f t="shared" si="47"/>
        <v>3.1833661145443407E-2</v>
      </c>
      <c r="L95" s="6">
        <f t="shared" si="47"/>
        <v>3.6335366711369131E-2</v>
      </c>
      <c r="M95" s="6">
        <f t="shared" si="47"/>
        <v>3.6565261726085978E-2</v>
      </c>
      <c r="N95" s="6">
        <f t="shared" si="47"/>
        <v>2.930517895445298E-2</v>
      </c>
      <c r="O95" s="6">
        <f t="shared" si="47"/>
        <v>2.9348700124742676E-2</v>
      </c>
      <c r="P95" s="6">
        <f t="shared" si="47"/>
        <v>3.7401602703166857E-2</v>
      </c>
      <c r="Q95" s="6">
        <f t="shared" si="47"/>
        <v>3.5363978887154243E-2</v>
      </c>
      <c r="R95" s="6">
        <f t="shared" si="47"/>
        <v>3.798097424294556E-2</v>
      </c>
      <c r="S95" s="6">
        <f t="shared" si="47"/>
        <v>3.2878832331599793E-2</v>
      </c>
      <c r="T95" s="6">
        <f t="shared" si="47"/>
        <v>3.6142489096811004E-2</v>
      </c>
      <c r="U95" s="6">
        <f t="shared" si="47"/>
        <v>3.6047000505131127E-2</v>
      </c>
      <c r="V95" s="6">
        <f t="shared" si="47"/>
        <v>4.836537941977026E-2</v>
      </c>
      <c r="W95" s="6">
        <f t="shared" si="47"/>
        <v>4.6497801288837431E-2</v>
      </c>
      <c r="X95" s="6">
        <f t="shared" si="47"/>
        <v>3.8700083456347303E-2</v>
      </c>
      <c r="Y95" s="6">
        <f t="shared" si="47"/>
        <v>3.4828118260827295E-2</v>
      </c>
      <c r="Z95" s="6">
        <f t="shared" si="47"/>
        <v>4.8903807504539584E-2</v>
      </c>
      <c r="AA95" s="6">
        <f t="shared" si="47"/>
        <v>3.4717328979821216E-2</v>
      </c>
      <c r="AB95" s="6">
        <f t="shared" si="47"/>
        <v>3.6934340551682945E-2</v>
      </c>
      <c r="AC95" s="6">
        <f t="shared" si="47"/>
        <v>3.6011256009918668E-2</v>
      </c>
      <c r="AD95" s="6">
        <f t="shared" si="47"/>
        <v>4.1803913373670225E-2</v>
      </c>
      <c r="AE95" s="6">
        <f t="shared" si="47"/>
        <v>3.3244936059080472E-2</v>
      </c>
      <c r="AF95" s="6">
        <f t="shared" si="47"/>
        <v>4.8624847054658034E-2</v>
      </c>
    </row>
    <row r="96" spans="4:32" x14ac:dyDescent="0.55000000000000004">
      <c r="D96" s="3">
        <v>21</v>
      </c>
      <c r="E96" s="6">
        <f t="shared" ref="E96:AF96" si="48">E61/$AG61</f>
        <v>3.1293726061830118E-2</v>
      </c>
      <c r="F96" s="6">
        <f t="shared" si="48"/>
        <v>2.4016460085024165E-2</v>
      </c>
      <c r="G96" s="6">
        <f t="shared" si="48"/>
        <v>2.6295660672909706E-2</v>
      </c>
      <c r="H96" s="6">
        <f t="shared" si="48"/>
        <v>2.7547694066361865E-2</v>
      </c>
      <c r="I96" s="6">
        <f t="shared" si="48"/>
        <v>2.8987393603422132E-2</v>
      </c>
      <c r="J96" s="6">
        <f t="shared" si="48"/>
        <v>2.6812256958044598E-2</v>
      </c>
      <c r="K96" s="6">
        <f t="shared" si="48"/>
        <v>3.168102534609999E-2</v>
      </c>
      <c r="L96" s="6">
        <f t="shared" si="48"/>
        <v>3.1536321092828189E-2</v>
      </c>
      <c r="M96" s="6">
        <f t="shared" si="48"/>
        <v>3.6360176813148383E-2</v>
      </c>
      <c r="N96" s="6">
        <f t="shared" si="48"/>
        <v>2.8460519100437686E-2</v>
      </c>
      <c r="O96" s="6">
        <f t="shared" si="48"/>
        <v>2.9090979175354768E-2</v>
      </c>
      <c r="P96" s="6">
        <f t="shared" si="48"/>
        <v>3.7714382943888146E-2</v>
      </c>
      <c r="Q96" s="6">
        <f t="shared" si="48"/>
        <v>3.4111536202822389E-2</v>
      </c>
      <c r="R96" s="6">
        <f t="shared" si="48"/>
        <v>3.3871394297938867E-2</v>
      </c>
      <c r="S96" s="6">
        <f t="shared" si="48"/>
        <v>3.8533751983903429E-2</v>
      </c>
      <c r="T96" s="6">
        <f t="shared" si="48"/>
        <v>3.3378855549989705E-2</v>
      </c>
      <c r="U96" s="6">
        <f t="shared" si="48"/>
        <v>3.7055705413189088E-2</v>
      </c>
      <c r="V96" s="6">
        <f t="shared" si="48"/>
        <v>5.2453797376001296E-2</v>
      </c>
      <c r="W96" s="6">
        <f t="shared" si="48"/>
        <v>4.2511342902530024E-2</v>
      </c>
      <c r="X96" s="6">
        <f t="shared" si="48"/>
        <v>4.2890218830861151E-2</v>
      </c>
      <c r="Y96" s="6">
        <f t="shared" si="48"/>
        <v>3.7841611562784885E-2</v>
      </c>
      <c r="Z96" s="6">
        <f t="shared" si="48"/>
        <v>4.9162858611628071E-2</v>
      </c>
      <c r="AA96" s="6">
        <f t="shared" si="48"/>
        <v>3.9530440953155138E-2</v>
      </c>
      <c r="AB96" s="6">
        <f t="shared" si="48"/>
        <v>3.8336311659618781E-2</v>
      </c>
      <c r="AC96" s="6">
        <f t="shared" si="48"/>
        <v>4.1816580858996442E-2</v>
      </c>
      <c r="AD96" s="6">
        <f t="shared" si="48"/>
        <v>3.734426798304314E-2</v>
      </c>
      <c r="AE96" s="6">
        <f t="shared" si="48"/>
        <v>3.2250547896793179E-2</v>
      </c>
      <c r="AF96" s="6">
        <f t="shared" si="48"/>
        <v>4.911418199739491E-2</v>
      </c>
    </row>
    <row r="97" spans="4:32" x14ac:dyDescent="0.55000000000000004">
      <c r="D97" s="3">
        <v>22</v>
      </c>
      <c r="E97" s="6">
        <f t="shared" ref="E97:AF97" si="49">E62/$AG62</f>
        <v>2.9613621930650612E-2</v>
      </c>
      <c r="F97" s="6">
        <f t="shared" si="49"/>
        <v>2.3042058024766079E-2</v>
      </c>
      <c r="G97" s="6">
        <f t="shared" si="49"/>
        <v>2.4945829547722658E-2</v>
      </c>
      <c r="H97" s="6">
        <f t="shared" si="49"/>
        <v>2.6599649947433048E-2</v>
      </c>
      <c r="I97" s="6">
        <f t="shared" si="49"/>
        <v>2.718184958330036E-2</v>
      </c>
      <c r="J97" s="6">
        <f t="shared" si="49"/>
        <v>2.5348342818019877E-2</v>
      </c>
      <c r="K97" s="6">
        <f t="shared" si="49"/>
        <v>2.9581591403841378E-2</v>
      </c>
      <c r="L97" s="6">
        <f t="shared" si="49"/>
        <v>3.3723578647209415E-2</v>
      </c>
      <c r="M97" s="6">
        <f t="shared" si="49"/>
        <v>3.3975917194444455E-2</v>
      </c>
      <c r="N97" s="6">
        <f t="shared" si="49"/>
        <v>2.6872881510651231E-2</v>
      </c>
      <c r="O97" s="6">
        <f t="shared" si="49"/>
        <v>2.7228740618327477E-2</v>
      </c>
      <c r="P97" s="6">
        <f t="shared" si="49"/>
        <v>3.5175427478381198E-2</v>
      </c>
      <c r="Q97" s="6">
        <f t="shared" si="49"/>
        <v>3.2390577280676937E-2</v>
      </c>
      <c r="R97" s="6">
        <f t="shared" si="49"/>
        <v>3.4265874823766827E-2</v>
      </c>
      <c r="S97" s="6">
        <f t="shared" si="49"/>
        <v>4.6989358248578902E-2</v>
      </c>
      <c r="T97" s="6">
        <f t="shared" si="49"/>
        <v>3.2665669232264931E-2</v>
      </c>
      <c r="U97" s="6">
        <f t="shared" si="49"/>
        <v>3.4505939057987607E-2</v>
      </c>
      <c r="V97" s="6">
        <f t="shared" si="49"/>
        <v>4.8460811248597219E-2</v>
      </c>
      <c r="W97" s="6">
        <f t="shared" si="49"/>
        <v>4.4116217377106165E-2</v>
      </c>
      <c r="X97" s="6">
        <f t="shared" si="49"/>
        <v>4.3636002535016608E-2</v>
      </c>
      <c r="Y97" s="6">
        <f t="shared" si="49"/>
        <v>4.9842479970153279E-2</v>
      </c>
      <c r="Z97" s="6">
        <f t="shared" si="49"/>
        <v>5.8583615342899076E-2</v>
      </c>
      <c r="AA97" s="6">
        <f t="shared" si="49"/>
        <v>3.679551474547068E-2</v>
      </c>
      <c r="AB97" s="6">
        <f t="shared" si="49"/>
        <v>3.5824565879432002E-2</v>
      </c>
      <c r="AC97" s="6">
        <f t="shared" si="49"/>
        <v>3.8917096618399101E-2</v>
      </c>
      <c r="AD97" s="6">
        <f t="shared" si="49"/>
        <v>4.3533578324642982E-2</v>
      </c>
      <c r="AE97" s="6">
        <f t="shared" si="49"/>
        <v>3.0502311140170105E-2</v>
      </c>
      <c r="AF97" s="6">
        <f t="shared" si="49"/>
        <v>4.5680899470090075E-2</v>
      </c>
    </row>
    <row r="98" spans="4:32" x14ac:dyDescent="0.55000000000000004">
      <c r="D98" s="3">
        <v>23</v>
      </c>
      <c r="E98" s="6">
        <f t="shared" ref="E98:AF98" si="50">E63/$AG63</f>
        <v>3.0642870654910968E-2</v>
      </c>
      <c r="F98" s="6">
        <f t="shared" si="50"/>
        <v>2.3984045303545698E-2</v>
      </c>
      <c r="G98" s="6">
        <f t="shared" si="50"/>
        <v>2.5824654341396695E-2</v>
      </c>
      <c r="H98" s="6">
        <f t="shared" si="50"/>
        <v>2.7703568462733738E-2</v>
      </c>
      <c r="I98" s="6">
        <f t="shared" si="50"/>
        <v>2.791942631610049E-2</v>
      </c>
      <c r="J98" s="6">
        <f t="shared" si="50"/>
        <v>2.6165423626325832E-2</v>
      </c>
      <c r="K98" s="6">
        <f t="shared" si="50"/>
        <v>3.0236391946835639E-2</v>
      </c>
      <c r="L98" s="6">
        <f t="shared" si="50"/>
        <v>3.5377086277453312E-2</v>
      </c>
      <c r="M98" s="6">
        <f t="shared" si="50"/>
        <v>3.4737303219457741E-2</v>
      </c>
      <c r="N98" s="6">
        <f t="shared" si="50"/>
        <v>2.7692001867816809E-2</v>
      </c>
      <c r="O98" s="6">
        <f t="shared" si="50"/>
        <v>2.786949245768626E-2</v>
      </c>
      <c r="P98" s="6">
        <f t="shared" si="50"/>
        <v>3.5784828915004473E-2</v>
      </c>
      <c r="Q98" s="6">
        <f t="shared" si="50"/>
        <v>3.34215342504387E-2</v>
      </c>
      <c r="R98" s="6">
        <f t="shared" si="50"/>
        <v>3.5980744856425884E-2</v>
      </c>
      <c r="S98" s="6">
        <f t="shared" si="50"/>
        <v>3.9635232419383978E-2</v>
      </c>
      <c r="T98" s="6">
        <f t="shared" si="50"/>
        <v>3.4003621384921925E-2</v>
      </c>
      <c r="U98" s="6">
        <f t="shared" si="50"/>
        <v>3.4895937913308153E-2</v>
      </c>
      <c r="V98" s="6">
        <f t="shared" si="50"/>
        <v>4.7990075555290515E-2</v>
      </c>
      <c r="W98" s="6">
        <f t="shared" si="50"/>
        <v>4.6127727355238367E-2</v>
      </c>
      <c r="X98" s="6">
        <f t="shared" si="50"/>
        <v>4.2214688544958037E-2</v>
      </c>
      <c r="Y98" s="6">
        <f t="shared" si="50"/>
        <v>4.3624182027701554E-2</v>
      </c>
      <c r="Z98" s="6">
        <f t="shared" si="50"/>
        <v>5.6168546066610474E-2</v>
      </c>
      <c r="AA98" s="6">
        <f t="shared" si="50"/>
        <v>3.5494350048988009E-2</v>
      </c>
      <c r="AB98" s="6">
        <f t="shared" si="50"/>
        <v>3.6179039444544418E-2</v>
      </c>
      <c r="AC98" s="6">
        <f t="shared" si="50"/>
        <v>3.7467557689820206E-2</v>
      </c>
      <c r="AD98" s="6">
        <f t="shared" si="50"/>
        <v>4.4999164830031795E-2</v>
      </c>
      <c r="AE98" s="6">
        <f t="shared" si="50"/>
        <v>3.1431970077042806E-2</v>
      </c>
      <c r="AF98" s="6">
        <f t="shared" si="50"/>
        <v>4.6428534146027649E-2</v>
      </c>
    </row>
    <row r="99" spans="4:32" x14ac:dyDescent="0.55000000000000004">
      <c r="D99" s="3">
        <v>24</v>
      </c>
      <c r="E99" s="6">
        <f t="shared" ref="E99:AF99" si="51">E64/$AG64</f>
        <v>3.4662434900288454E-2</v>
      </c>
      <c r="F99" s="6">
        <f t="shared" si="51"/>
        <v>2.5570062481266535E-2</v>
      </c>
      <c r="G99" s="6">
        <f t="shared" si="51"/>
        <v>2.8650882137836557E-2</v>
      </c>
      <c r="H99" s="6">
        <f t="shared" si="51"/>
        <v>2.8218681773376976E-2</v>
      </c>
      <c r="I99" s="6">
        <f t="shared" si="51"/>
        <v>3.2692576469141046E-2</v>
      </c>
      <c r="J99" s="6">
        <f t="shared" si="51"/>
        <v>2.9202523677115986E-2</v>
      </c>
      <c r="K99" s="6">
        <f t="shared" si="51"/>
        <v>3.6049090437787222E-2</v>
      </c>
      <c r="L99" s="6">
        <f t="shared" si="51"/>
        <v>2.7163542713842397E-2</v>
      </c>
      <c r="M99" s="6">
        <f t="shared" si="51"/>
        <v>4.1069757887709661E-2</v>
      </c>
      <c r="N99" s="6">
        <f t="shared" si="51"/>
        <v>3.0801972583208402E-2</v>
      </c>
      <c r="O99" s="6">
        <f t="shared" si="51"/>
        <v>3.2476856657962141E-2</v>
      </c>
      <c r="P99" s="6">
        <f t="shared" si="51"/>
        <v>4.1706405780154894E-2</v>
      </c>
      <c r="Q99" s="6">
        <f t="shared" si="51"/>
        <v>3.538841238644478E-2</v>
      </c>
      <c r="R99" s="6">
        <f t="shared" si="51"/>
        <v>3.1880777209318693E-2</v>
      </c>
      <c r="S99" s="6">
        <f t="shared" si="51"/>
        <v>3.0967554669821516E-2</v>
      </c>
      <c r="T99" s="6">
        <f t="shared" si="51"/>
        <v>3.1113656322042278E-2</v>
      </c>
      <c r="U99" s="6">
        <f t="shared" si="51"/>
        <v>3.9179087912821195E-2</v>
      </c>
      <c r="V99" s="6">
        <f t="shared" si="51"/>
        <v>5.9743806757077515E-2</v>
      </c>
      <c r="W99" s="6">
        <f t="shared" si="51"/>
        <v>3.4823586592406156E-2</v>
      </c>
      <c r="X99" s="6">
        <f t="shared" si="51"/>
        <v>3.6096569489731195E-2</v>
      </c>
      <c r="Y99" s="6">
        <f t="shared" si="51"/>
        <v>2.9137602811157515E-2</v>
      </c>
      <c r="Z99" s="6">
        <f t="shared" si="51"/>
        <v>3.7745661156515245E-2</v>
      </c>
      <c r="AA99" s="6">
        <f t="shared" si="51"/>
        <v>4.5517108090593061E-2</v>
      </c>
      <c r="AB99" s="6">
        <f t="shared" si="51"/>
        <v>3.6905984993426261E-2</v>
      </c>
      <c r="AC99" s="6">
        <f t="shared" si="51"/>
        <v>4.2736601576277303E-2</v>
      </c>
      <c r="AD99" s="6">
        <f t="shared" si="51"/>
        <v>2.9710735134427027E-2</v>
      </c>
      <c r="AE99" s="6">
        <f t="shared" si="51"/>
        <v>3.4289700524904487E-2</v>
      </c>
      <c r="AF99" s="6">
        <f t="shared" si="51"/>
        <v>5.6498366873345723E-2</v>
      </c>
    </row>
    <row r="100" spans="4:32" x14ac:dyDescent="0.55000000000000004">
      <c r="D100" s="3">
        <v>25</v>
      </c>
      <c r="E100" s="6">
        <f t="shared" ref="E100:AF100" si="52">E65/$AG65</f>
        <v>3.3936426973273148E-2</v>
      </c>
      <c r="F100" s="6">
        <f t="shared" si="52"/>
        <v>2.5944674824120478E-2</v>
      </c>
      <c r="G100" s="6">
        <f t="shared" si="52"/>
        <v>2.8499803128073806E-2</v>
      </c>
      <c r="H100" s="6">
        <f t="shared" si="52"/>
        <v>2.959111299113246E-2</v>
      </c>
      <c r="I100" s="6">
        <f t="shared" si="52"/>
        <v>3.1427357748677706E-2</v>
      </c>
      <c r="J100" s="6">
        <f t="shared" si="52"/>
        <v>2.9072179311126649E-2</v>
      </c>
      <c r="K100" s="6">
        <f t="shared" si="52"/>
        <v>3.4300247828409805E-2</v>
      </c>
      <c r="L100" s="6">
        <f t="shared" si="52"/>
        <v>3.0596076429033253E-2</v>
      </c>
      <c r="M100" s="6">
        <f t="shared" si="52"/>
        <v>3.9382544276425707E-2</v>
      </c>
      <c r="N100" s="6">
        <f t="shared" si="52"/>
        <v>3.0860815718620926E-2</v>
      </c>
      <c r="O100" s="6">
        <f t="shared" si="52"/>
        <v>3.1530968172108542E-2</v>
      </c>
      <c r="P100" s="6">
        <f t="shared" si="52"/>
        <v>4.0818184451770101E-2</v>
      </c>
      <c r="Q100" s="6">
        <f t="shared" si="52"/>
        <v>3.6887973608838706E-2</v>
      </c>
      <c r="R100" s="6">
        <f t="shared" si="52"/>
        <v>3.508123174917701E-2</v>
      </c>
      <c r="S100" s="6">
        <f t="shared" si="52"/>
        <v>2.9828141080280483E-2</v>
      </c>
      <c r="T100" s="6">
        <f t="shared" si="52"/>
        <v>3.4705750006486728E-2</v>
      </c>
      <c r="U100" s="6">
        <f t="shared" si="52"/>
        <v>4.0042723814317061E-2</v>
      </c>
      <c r="V100" s="6">
        <f t="shared" si="52"/>
        <v>5.4429341782956213E-2</v>
      </c>
      <c r="W100" s="6">
        <f t="shared" si="52"/>
        <v>3.8661009258904595E-2</v>
      </c>
      <c r="X100" s="6">
        <f t="shared" si="52"/>
        <v>3.6530889101947912E-2</v>
      </c>
      <c r="Y100" s="6">
        <f t="shared" si="52"/>
        <v>2.9604349096234602E-2</v>
      </c>
      <c r="Z100" s="6">
        <f t="shared" si="52"/>
        <v>4.0149531816434041E-2</v>
      </c>
      <c r="AA100" s="6">
        <f t="shared" si="52"/>
        <v>3.8513451869038602E-2</v>
      </c>
      <c r="AB100" s="6">
        <f t="shared" si="52"/>
        <v>4.0086905474194183E-2</v>
      </c>
      <c r="AC100" s="6">
        <f t="shared" si="52"/>
        <v>3.8584486034025624E-2</v>
      </c>
      <c r="AD100" s="6">
        <f t="shared" si="52"/>
        <v>3.2962850320206717E-2</v>
      </c>
      <c r="AE100" s="6">
        <f t="shared" si="52"/>
        <v>3.4948752684160284E-2</v>
      </c>
      <c r="AF100" s="6">
        <f t="shared" si="52"/>
        <v>5.3022220450024478E-2</v>
      </c>
    </row>
    <row r="101" spans="4:32" x14ac:dyDescent="0.55000000000000004">
      <c r="D101" s="3">
        <v>26</v>
      </c>
      <c r="E101" s="6">
        <f t="shared" ref="E101:AF101" si="53">E66/$AG66</f>
        <v>3.2855744799123399E-2</v>
      </c>
      <c r="F101" s="6">
        <f t="shared" si="53"/>
        <v>2.4681046709227231E-2</v>
      </c>
      <c r="G101" s="6">
        <f t="shared" si="53"/>
        <v>2.7402016603967679E-2</v>
      </c>
      <c r="H101" s="6">
        <f t="shared" si="53"/>
        <v>2.7802423950809934E-2</v>
      </c>
      <c r="I101" s="6">
        <f t="shared" si="53"/>
        <v>3.079193821250473E-2</v>
      </c>
      <c r="J101" s="6">
        <f t="shared" si="53"/>
        <v>2.798614620588431E-2</v>
      </c>
      <c r="K101" s="6">
        <f t="shared" si="53"/>
        <v>3.3859381473711279E-2</v>
      </c>
      <c r="L101" s="6">
        <f t="shared" si="53"/>
        <v>2.8671855854124666E-2</v>
      </c>
      <c r="M101" s="6">
        <f t="shared" si="53"/>
        <v>3.8740439755417203E-2</v>
      </c>
      <c r="N101" s="6">
        <f t="shared" si="53"/>
        <v>2.9659287357684964E-2</v>
      </c>
      <c r="O101" s="6">
        <f t="shared" si="53"/>
        <v>3.0832524077500839E-2</v>
      </c>
      <c r="P101" s="6">
        <f t="shared" si="53"/>
        <v>3.9981814345500369E-2</v>
      </c>
      <c r="Q101" s="6">
        <f t="shared" si="53"/>
        <v>3.4876509047015634E-2</v>
      </c>
      <c r="R101" s="6">
        <f t="shared" si="53"/>
        <v>3.2490989650391058E-2</v>
      </c>
      <c r="S101" s="6">
        <f t="shared" si="53"/>
        <v>3.3859740385057124E-2</v>
      </c>
      <c r="T101" s="6">
        <f t="shared" si="53"/>
        <v>3.2145022237181797E-2</v>
      </c>
      <c r="U101" s="6">
        <f t="shared" si="53"/>
        <v>3.8826356582243822E-2</v>
      </c>
      <c r="V101" s="6">
        <f t="shared" si="53"/>
        <v>5.7403949602871505E-2</v>
      </c>
      <c r="W101" s="6">
        <f t="shared" si="53"/>
        <v>3.7617911602397518E-2</v>
      </c>
      <c r="X101" s="6">
        <f t="shared" si="53"/>
        <v>3.9766009286747395E-2</v>
      </c>
      <c r="Y101" s="6">
        <f t="shared" si="53"/>
        <v>3.2094350230688608E-2</v>
      </c>
      <c r="Z101" s="6">
        <f t="shared" si="53"/>
        <v>4.1494679299675756E-2</v>
      </c>
      <c r="AA101" s="6">
        <f t="shared" si="53"/>
        <v>4.4507090313634742E-2</v>
      </c>
      <c r="AB101" s="6">
        <f t="shared" si="53"/>
        <v>3.8505812709719783E-2</v>
      </c>
      <c r="AC101" s="6">
        <f t="shared" si="53"/>
        <v>4.467203029165364E-2</v>
      </c>
      <c r="AD101" s="6">
        <f t="shared" si="53"/>
        <v>3.2251953316810286E-2</v>
      </c>
      <c r="AE101" s="6">
        <f t="shared" si="53"/>
        <v>3.3358022874113651E-2</v>
      </c>
      <c r="AF101" s="6">
        <f t="shared" si="53"/>
        <v>5.2864953224341073E-2</v>
      </c>
    </row>
    <row r="102" spans="4:32" x14ac:dyDescent="0.55000000000000004">
      <c r="D102" s="3">
        <v>27</v>
      </c>
      <c r="E102" s="6">
        <f t="shared" ref="E102:AF102" si="54">E67/$AG67</f>
        <v>3.2436022622302219E-2</v>
      </c>
      <c r="F102" s="6">
        <f t="shared" si="54"/>
        <v>2.5771994413918E-2</v>
      </c>
      <c r="G102" s="6">
        <f t="shared" si="54"/>
        <v>2.7269108767393031E-2</v>
      </c>
      <c r="H102" s="6">
        <f t="shared" si="54"/>
        <v>2.9608868102778997E-2</v>
      </c>
      <c r="I102" s="6">
        <f t="shared" si="54"/>
        <v>2.8931565026252812E-2</v>
      </c>
      <c r="J102" s="6">
        <f t="shared" si="54"/>
        <v>2.732781408606692E-2</v>
      </c>
      <c r="K102" s="6">
        <f t="shared" si="54"/>
        <v>3.0925936925655255E-2</v>
      </c>
      <c r="L102" s="6">
        <f t="shared" si="54"/>
        <v>4.0521472326858335E-2</v>
      </c>
      <c r="M102" s="6">
        <f t="shared" si="54"/>
        <v>3.5481552535341167E-2</v>
      </c>
      <c r="N102" s="6">
        <f t="shared" si="54"/>
        <v>2.8704313697682251E-2</v>
      </c>
      <c r="O102" s="6">
        <f t="shared" si="54"/>
        <v>2.8472437513180165E-2</v>
      </c>
      <c r="P102" s="6">
        <f t="shared" si="54"/>
        <v>3.5836166271936074E-2</v>
      </c>
      <c r="Q102" s="6">
        <f t="shared" si="54"/>
        <v>3.4476285625920124E-2</v>
      </c>
      <c r="R102" s="6">
        <f t="shared" si="54"/>
        <v>4.0139653639782155E-2</v>
      </c>
      <c r="S102" s="6">
        <f t="shared" si="54"/>
        <v>3.3969773500815093E-2</v>
      </c>
      <c r="T102" s="6">
        <f t="shared" si="54"/>
        <v>3.5454362800324567E-2</v>
      </c>
      <c r="U102" s="6">
        <f t="shared" si="54"/>
        <v>3.4158894791779019E-2</v>
      </c>
      <c r="V102" s="6">
        <f t="shared" si="54"/>
        <v>4.5578609407720003E-2</v>
      </c>
      <c r="W102" s="6">
        <f t="shared" si="54"/>
        <v>4.6219857165634884E-2</v>
      </c>
      <c r="X102" s="6">
        <f t="shared" si="54"/>
        <v>3.7587434831288249E-2</v>
      </c>
      <c r="Y102" s="6">
        <f t="shared" si="54"/>
        <v>3.7998615107634512E-2</v>
      </c>
      <c r="Z102" s="6">
        <f t="shared" si="54"/>
        <v>5.2746874242089556E-2</v>
      </c>
      <c r="AA102" s="6">
        <f t="shared" si="54"/>
        <v>3.2748986483259142E-2</v>
      </c>
      <c r="AB102" s="6">
        <f t="shared" si="54"/>
        <v>3.4817179004366455E-2</v>
      </c>
      <c r="AC102" s="6">
        <f t="shared" si="54"/>
        <v>3.413589310808407E-2</v>
      </c>
      <c r="AD102" s="6">
        <f t="shared" si="54"/>
        <v>4.9384502618886397E-2</v>
      </c>
      <c r="AE102" s="6">
        <f t="shared" si="54"/>
        <v>3.244900611637954E-2</v>
      </c>
      <c r="AF102" s="6">
        <f t="shared" si="54"/>
        <v>4.6846819266670961E-2</v>
      </c>
    </row>
    <row r="103" spans="4:32" x14ac:dyDescent="0.55000000000000004">
      <c r="D103" s="3">
        <v>28</v>
      </c>
      <c r="E103" s="6">
        <f t="shared" ref="E103:AF103" si="55">E68/$AG68</f>
        <v>4.1708880243573491E-2</v>
      </c>
      <c r="F103" s="6">
        <f t="shared" si="55"/>
        <v>3.1819485751738825E-2</v>
      </c>
      <c r="G103" s="6">
        <f t="shared" si="55"/>
        <v>3.5071735918962468E-2</v>
      </c>
      <c r="H103" s="6">
        <f t="shared" si="55"/>
        <v>3.5179276084135458E-2</v>
      </c>
      <c r="I103" s="6">
        <f t="shared" si="55"/>
        <v>3.818286907962759E-2</v>
      </c>
      <c r="J103" s="6">
        <f t="shared" si="55"/>
        <v>3.5735784782893645E-2</v>
      </c>
      <c r="K103" s="6">
        <f t="shared" si="55"/>
        <v>4.0988533694977791E-2</v>
      </c>
      <c r="L103" s="6">
        <f t="shared" si="55"/>
        <v>2.8221484839714608E-2</v>
      </c>
      <c r="M103" s="6">
        <f t="shared" si="55"/>
        <v>4.6989128273082631E-2</v>
      </c>
      <c r="N103" s="6">
        <f t="shared" si="55"/>
        <v>3.7891786047254884E-2</v>
      </c>
      <c r="O103" s="6">
        <f t="shared" si="55"/>
        <v>3.766569230174327E-2</v>
      </c>
      <c r="P103" s="6">
        <f t="shared" si="55"/>
        <v>4.3868023544680133E-2</v>
      </c>
      <c r="Q103" s="6">
        <f t="shared" si="55"/>
        <v>4.1298462084670341E-2</v>
      </c>
      <c r="R103" s="6">
        <f t="shared" si="55"/>
        <v>3.7328699769761636E-2</v>
      </c>
      <c r="S103" s="6">
        <f t="shared" si="55"/>
        <v>2.2258342042718596E-2</v>
      </c>
      <c r="T103" s="6">
        <f t="shared" si="55"/>
        <v>3.167923952021353E-2</v>
      </c>
      <c r="U103" s="6">
        <f t="shared" si="55"/>
        <v>3.5229776968777639E-2</v>
      </c>
      <c r="V103" s="6">
        <f t="shared" si="55"/>
        <v>4.6140415671075422E-2</v>
      </c>
      <c r="W103" s="6">
        <f t="shared" si="55"/>
        <v>3.0887669582094608E-2</v>
      </c>
      <c r="X103" s="6">
        <f t="shared" si="55"/>
        <v>2.7277452948186617E-2</v>
      </c>
      <c r="Y103" s="6">
        <f t="shared" si="55"/>
        <v>2.2372995232837634E-2</v>
      </c>
      <c r="Z103" s="6">
        <f t="shared" si="55"/>
        <v>3.0960777504923997E-2</v>
      </c>
      <c r="AA103" s="6">
        <f t="shared" si="55"/>
        <v>3.1761144182085879E-2</v>
      </c>
      <c r="AB103" s="6">
        <f t="shared" si="55"/>
        <v>3.1020477831601733E-2</v>
      </c>
      <c r="AC103" s="6">
        <f t="shared" si="55"/>
        <v>2.9669042484786173E-2</v>
      </c>
      <c r="AD103" s="6">
        <f t="shared" si="55"/>
        <v>2.7267754810349341E-2</v>
      </c>
      <c r="AE103" s="6">
        <f t="shared" si="55"/>
        <v>4.0078784842907438E-2</v>
      </c>
      <c r="AF103" s="6">
        <f t="shared" si="55"/>
        <v>6.1446283960624522E-2</v>
      </c>
    </row>
    <row r="104" spans="4:32" x14ac:dyDescent="0.55000000000000004">
      <c r="D104" s="3">
        <v>29</v>
      </c>
      <c r="E104" s="6">
        <f t="shared" ref="E104:AF104" si="56">E69/$AG69</f>
        <v>4.5501895982701497E-2</v>
      </c>
      <c r="F104" s="6">
        <f t="shared" si="56"/>
        <v>3.2352839616474442E-2</v>
      </c>
      <c r="G104" s="6">
        <f t="shared" si="56"/>
        <v>3.6799026647843423E-2</v>
      </c>
      <c r="H104" s="6">
        <f t="shared" si="56"/>
        <v>3.2221753372770667E-2</v>
      </c>
      <c r="I104" s="6">
        <f t="shared" si="56"/>
        <v>4.306421160752303E-2</v>
      </c>
      <c r="J104" s="6">
        <f t="shared" si="56"/>
        <v>3.6625649282803832E-2</v>
      </c>
      <c r="K104" s="6">
        <f t="shared" si="56"/>
        <v>4.7511291331718435E-2</v>
      </c>
      <c r="L104" s="6">
        <f t="shared" si="56"/>
        <v>2.4971475539535992E-2</v>
      </c>
      <c r="M104" s="6">
        <f t="shared" si="56"/>
        <v>5.334838977674649E-2</v>
      </c>
      <c r="N104" s="6">
        <f t="shared" si="56"/>
        <v>3.6825141139062267E-2</v>
      </c>
      <c r="O104" s="6">
        <f t="shared" si="56"/>
        <v>4.0365614448426061E-2</v>
      </c>
      <c r="P104" s="6">
        <f t="shared" si="56"/>
        <v>4.3129279061268823E-2</v>
      </c>
      <c r="Q104" s="6">
        <f t="shared" si="56"/>
        <v>3.6805868222801949E-2</v>
      </c>
      <c r="R104" s="6">
        <f t="shared" si="56"/>
        <v>3.3317470366311712E-2</v>
      </c>
      <c r="S104" s="6">
        <f t="shared" si="56"/>
        <v>2.1142211668246529E-2</v>
      </c>
      <c r="T104" s="6">
        <f t="shared" si="56"/>
        <v>2.8321314820864529E-2</v>
      </c>
      <c r="U104" s="6">
        <f t="shared" si="56"/>
        <v>3.3619975358490602E-2</v>
      </c>
      <c r="V104" s="6">
        <f t="shared" si="56"/>
        <v>4.5969709710483794E-2</v>
      </c>
      <c r="W104" s="6">
        <f t="shared" si="56"/>
        <v>2.7972491897444326E-2</v>
      </c>
      <c r="X104" s="6">
        <f t="shared" si="56"/>
        <v>2.5720943829918703E-2</v>
      </c>
      <c r="Y104" s="6">
        <f t="shared" si="56"/>
        <v>2.074623522007446E-2</v>
      </c>
      <c r="Z104" s="6">
        <f t="shared" si="56"/>
        <v>2.8316429815401764E-2</v>
      </c>
      <c r="AA104" s="6">
        <f t="shared" si="56"/>
        <v>3.2402730535626492E-2</v>
      </c>
      <c r="AB104" s="6">
        <f t="shared" si="56"/>
        <v>2.9139894929251068E-2</v>
      </c>
      <c r="AC104" s="6">
        <f t="shared" si="56"/>
        <v>2.9112824892298547E-2</v>
      </c>
      <c r="AD104" s="6">
        <f t="shared" si="56"/>
        <v>2.4374816655700828E-2</v>
      </c>
      <c r="AE104" s="6">
        <f t="shared" si="56"/>
        <v>3.8045990149597794E-2</v>
      </c>
      <c r="AF104" s="6">
        <f t="shared" si="56"/>
        <v>7.2274524120611999E-2</v>
      </c>
    </row>
    <row r="106" spans="4:32" x14ac:dyDescent="0.55000000000000004">
      <c r="E106" s="7">
        <f>AVERAGE(E77:E104)</f>
        <v>4.0951518759210055E-2</v>
      </c>
      <c r="F106" s="7">
        <f t="shared" ref="F106:AF106" si="57">AVERAGE(F77:F104)</f>
        <v>3.0683934493994029E-2</v>
      </c>
      <c r="G106" s="7">
        <f t="shared" si="57"/>
        <v>3.3543775042613064E-2</v>
      </c>
      <c r="H106" s="7">
        <f t="shared" si="57"/>
        <v>3.2091115678713832E-2</v>
      </c>
      <c r="I106" s="7">
        <f t="shared" si="57"/>
        <v>3.6902716774856632E-2</v>
      </c>
      <c r="J106" s="7">
        <f t="shared" si="57"/>
        <v>3.3076733527766425E-2</v>
      </c>
      <c r="K106" s="7">
        <f t="shared" si="57"/>
        <v>3.9108540980317387E-2</v>
      </c>
      <c r="L106" s="7">
        <f t="shared" si="57"/>
        <v>3.0009560401390412E-2</v>
      </c>
      <c r="M106" s="7">
        <f t="shared" si="57"/>
        <v>4.4121984056167914E-2</v>
      </c>
      <c r="N106" s="7">
        <f t="shared" si="57"/>
        <v>3.3725375681446172E-2</v>
      </c>
      <c r="O106" s="7">
        <f t="shared" si="57"/>
        <v>3.4557964683816049E-2</v>
      </c>
      <c r="P106" s="7">
        <f t="shared" si="57"/>
        <v>4.0323722705468794E-2</v>
      </c>
      <c r="Q106" s="7">
        <f t="shared" si="57"/>
        <v>3.677588704820655E-2</v>
      </c>
      <c r="R106" s="7">
        <f t="shared" si="57"/>
        <v>3.6692194579934403E-2</v>
      </c>
      <c r="S106" s="7">
        <f t="shared" si="57"/>
        <v>2.7203648497288214E-2</v>
      </c>
      <c r="T106" s="7">
        <f t="shared" si="57"/>
        <v>3.1741811365935964E-2</v>
      </c>
      <c r="U106" s="7">
        <f t="shared" si="57"/>
        <v>3.4931791812527056E-2</v>
      </c>
      <c r="V106" s="7">
        <f t="shared" si="57"/>
        <v>4.7597788560417222E-2</v>
      </c>
      <c r="W106" s="7">
        <f t="shared" si="57"/>
        <v>3.4567790113239648E-2</v>
      </c>
      <c r="X106" s="7">
        <f t="shared" si="57"/>
        <v>3.1495583619100168E-2</v>
      </c>
      <c r="Y106" s="7">
        <f t="shared" si="57"/>
        <v>2.7605014673816309E-2</v>
      </c>
      <c r="Z106" s="7">
        <f t="shared" si="57"/>
        <v>3.691097981648217E-2</v>
      </c>
      <c r="AA106" s="7">
        <f t="shared" si="57"/>
        <v>3.3966464909011305E-2</v>
      </c>
      <c r="AB106" s="7">
        <f t="shared" si="57"/>
        <v>3.2704431547007008E-2</v>
      </c>
      <c r="AC106" s="7">
        <f t="shared" si="57"/>
        <v>3.2832578118444561E-2</v>
      </c>
      <c r="AD106" s="7">
        <f t="shared" si="57"/>
        <v>3.1405861743178956E-2</v>
      </c>
      <c r="AE106" s="7">
        <f t="shared" si="57"/>
        <v>3.6347184407975311E-2</v>
      </c>
      <c r="AF106" s="7">
        <f t="shared" si="57"/>
        <v>5.8124046401674338E-2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EA81-2ABC-4308-8527-11CCB1F191D0}">
  <dimension ref="A1:AI65"/>
  <sheetViews>
    <sheetView topLeftCell="B1" zoomScale="56" zoomScaleNormal="40" workbookViewId="0">
      <selection activeCell="G3" sqref="G3"/>
    </sheetView>
  </sheetViews>
  <sheetFormatPr defaultRowHeight="14.4" x14ac:dyDescent="0.55000000000000004"/>
  <cols>
    <col min="1" max="1" width="19.26171875" customWidth="1"/>
    <col min="2" max="2" width="20.68359375" customWidth="1"/>
  </cols>
  <sheetData>
    <row r="1" spans="1:35" x14ac:dyDescent="0.55000000000000004">
      <c r="A1" s="1" t="s">
        <v>0</v>
      </c>
      <c r="B1" s="1" t="s">
        <v>3</v>
      </c>
    </row>
    <row r="2" spans="1:35" x14ac:dyDescent="0.55000000000000004">
      <c r="A2" s="2">
        <v>1</v>
      </c>
      <c r="B2" s="2">
        <v>1094</v>
      </c>
      <c r="G2" s="3">
        <v>1</v>
      </c>
      <c r="H2" s="3">
        <v>2</v>
      </c>
      <c r="I2" s="3">
        <v>3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  <c r="R2" s="3">
        <v>13</v>
      </c>
      <c r="S2" s="3">
        <v>14</v>
      </c>
      <c r="T2" s="3">
        <v>15</v>
      </c>
      <c r="U2" s="3">
        <v>16</v>
      </c>
      <c r="V2" s="3">
        <v>17</v>
      </c>
      <c r="W2" s="3">
        <v>18</v>
      </c>
      <c r="X2" s="3">
        <v>19</v>
      </c>
      <c r="Y2" s="3">
        <v>20</v>
      </c>
      <c r="Z2" s="3">
        <v>21</v>
      </c>
      <c r="AA2" s="3">
        <v>22</v>
      </c>
      <c r="AB2" s="3">
        <v>23</v>
      </c>
      <c r="AC2" s="3">
        <v>24</v>
      </c>
      <c r="AD2" s="3">
        <v>25</v>
      </c>
      <c r="AE2" s="3">
        <v>26</v>
      </c>
      <c r="AF2" s="3">
        <v>27</v>
      </c>
      <c r="AG2" s="3">
        <v>28</v>
      </c>
      <c r="AH2" s="3">
        <v>29</v>
      </c>
    </row>
    <row r="3" spans="1:35" x14ac:dyDescent="0.55000000000000004">
      <c r="A3" s="2">
        <v>2</v>
      </c>
      <c r="B3" s="2">
        <v>633</v>
      </c>
      <c r="F3" s="3">
        <v>1</v>
      </c>
      <c r="G3" s="8">
        <f>generation!$C2*distribution!$E77</f>
        <v>18.768379276739861</v>
      </c>
      <c r="H3" s="8">
        <f>generation!$C2*distribution!$E77</f>
        <v>18.768379276739861</v>
      </c>
      <c r="I3" s="8">
        <f>generation!$C2*distribution!$E77</f>
        <v>18.768379276739861</v>
      </c>
      <c r="J3" s="8">
        <f>generation!$C2*distribution!$E77</f>
        <v>18.768379276739861</v>
      </c>
      <c r="K3" s="8">
        <f>generation!$C2*distribution!$E77</f>
        <v>18.768379276739861</v>
      </c>
      <c r="L3" s="8">
        <f>generation!$C2*distribution!$E77</f>
        <v>18.768379276739861</v>
      </c>
      <c r="M3" s="8">
        <f>generation!$C2*distribution!$E77</f>
        <v>18.768379276739861</v>
      </c>
      <c r="N3" s="8">
        <f>generation!$C2*distribution!$E77</f>
        <v>18.768379276739861</v>
      </c>
      <c r="O3" s="8">
        <f>generation!$C2*distribution!$E77</f>
        <v>18.768379276739861</v>
      </c>
      <c r="P3" s="8">
        <f>generation!$C2*distribution!$E77</f>
        <v>18.768379276739861</v>
      </c>
      <c r="Q3" s="8">
        <f>generation!$C2*distribution!$E77</f>
        <v>18.768379276739861</v>
      </c>
      <c r="R3" s="8">
        <f>generation!$C2*distribution!$E77</f>
        <v>18.768379276739861</v>
      </c>
      <c r="S3" s="8">
        <f>generation!$C2*distribution!$E77</f>
        <v>18.768379276739861</v>
      </c>
      <c r="T3" s="8">
        <f>generation!$C2*distribution!$E77</f>
        <v>18.768379276739861</v>
      </c>
      <c r="U3" s="8">
        <f>generation!$C2*distribution!$E77</f>
        <v>18.768379276739861</v>
      </c>
      <c r="V3" s="8">
        <f>generation!$C2*distribution!$E77</f>
        <v>18.768379276739861</v>
      </c>
      <c r="W3" s="8">
        <f>generation!$C2*distribution!$E77</f>
        <v>18.768379276739861</v>
      </c>
      <c r="X3" s="8">
        <f>generation!$C2*distribution!$E77</f>
        <v>18.768379276739861</v>
      </c>
      <c r="Y3" s="8">
        <f>generation!$C2*distribution!$E77</f>
        <v>18.768379276739861</v>
      </c>
      <c r="Z3" s="8">
        <f>generation!$C2*distribution!$E77</f>
        <v>18.768379276739861</v>
      </c>
      <c r="AA3" s="8">
        <f>generation!$C2*distribution!$E77</f>
        <v>18.768379276739861</v>
      </c>
      <c r="AB3" s="8">
        <f>generation!$C2*distribution!$E77</f>
        <v>18.768379276739861</v>
      </c>
      <c r="AC3" s="8">
        <f>generation!$C2*distribution!$E77</f>
        <v>18.768379276739861</v>
      </c>
      <c r="AD3" s="8">
        <f>generation!$C2*distribution!$E77</f>
        <v>18.768379276739861</v>
      </c>
      <c r="AE3" s="8">
        <f>generation!$C2*distribution!$E77</f>
        <v>18.768379276739861</v>
      </c>
      <c r="AF3" s="8">
        <f>generation!$C2*distribution!$E77</f>
        <v>18.768379276739861</v>
      </c>
      <c r="AG3" s="8">
        <f>generation!$C2*distribution!$E77</f>
        <v>18.768379276739861</v>
      </c>
      <c r="AH3" s="8">
        <f>generation!$C2*distribution!$E77</f>
        <v>18.768379276739861</v>
      </c>
      <c r="AI3" s="10">
        <f>SUM(G3:AH3)</f>
        <v>525.51461974871575</v>
      </c>
    </row>
    <row r="4" spans="1:35" x14ac:dyDescent="0.55000000000000004">
      <c r="A4" s="2">
        <v>3</v>
      </c>
      <c r="B4" s="2">
        <v>592</v>
      </c>
      <c r="F4" s="3">
        <v>2</v>
      </c>
      <c r="G4" s="8">
        <f>generation!$C3*distribution!$E78</f>
        <v>9.7290814963776757</v>
      </c>
      <c r="H4" s="8">
        <f>generation!$C3*distribution!$E78</f>
        <v>9.7290814963776757</v>
      </c>
      <c r="I4" s="8">
        <f>generation!$C3*distribution!$E78</f>
        <v>9.7290814963776757</v>
      </c>
      <c r="J4" s="8">
        <f>generation!$C3*distribution!$E78</f>
        <v>9.7290814963776757</v>
      </c>
      <c r="K4" s="8">
        <f>generation!$C3*distribution!$E78</f>
        <v>9.7290814963776757</v>
      </c>
      <c r="L4" s="8">
        <f>generation!$C3*distribution!$E78</f>
        <v>9.7290814963776757</v>
      </c>
      <c r="M4" s="8">
        <f>generation!$C3*distribution!$E78</f>
        <v>9.7290814963776757</v>
      </c>
      <c r="N4" s="8">
        <f>generation!$C3*distribution!$E78</f>
        <v>9.7290814963776757</v>
      </c>
      <c r="O4" s="8">
        <f>generation!$C3*distribution!$E78</f>
        <v>9.7290814963776757</v>
      </c>
      <c r="P4" s="8">
        <f>generation!$C3*distribution!$E78</f>
        <v>9.7290814963776757</v>
      </c>
      <c r="Q4" s="8">
        <f>generation!$C3*distribution!$E78</f>
        <v>9.7290814963776757</v>
      </c>
      <c r="R4" s="8">
        <f>generation!$C3*distribution!$E78</f>
        <v>9.7290814963776757</v>
      </c>
      <c r="S4" s="8">
        <f>generation!$C3*distribution!$E78</f>
        <v>9.7290814963776757</v>
      </c>
      <c r="T4" s="8">
        <f>generation!$C3*distribution!$E78</f>
        <v>9.7290814963776757</v>
      </c>
      <c r="U4" s="8">
        <f>generation!$C3*distribution!$E78</f>
        <v>9.7290814963776757</v>
      </c>
      <c r="V4" s="8">
        <f>generation!$C3*distribution!$E78</f>
        <v>9.7290814963776757</v>
      </c>
      <c r="W4" s="8">
        <f>generation!$C3*distribution!$E78</f>
        <v>9.7290814963776757</v>
      </c>
      <c r="X4" s="8">
        <f>generation!$C3*distribution!$E78</f>
        <v>9.7290814963776757</v>
      </c>
      <c r="Y4" s="8">
        <f>generation!$C3*distribution!$E78</f>
        <v>9.7290814963776757</v>
      </c>
      <c r="Z4" s="8">
        <f>generation!$C3*distribution!$E78</f>
        <v>9.7290814963776757</v>
      </c>
      <c r="AA4" s="8">
        <f>generation!$C3*distribution!$E78</f>
        <v>9.7290814963776757</v>
      </c>
      <c r="AB4" s="8">
        <f>generation!$C3*distribution!$E78</f>
        <v>9.7290814963776757</v>
      </c>
      <c r="AC4" s="8">
        <f>generation!$C3*distribution!$E78</f>
        <v>9.7290814963776757</v>
      </c>
      <c r="AD4" s="8">
        <f>generation!$C3*distribution!$E78</f>
        <v>9.7290814963776757</v>
      </c>
      <c r="AE4" s="8">
        <f>generation!$C3*distribution!$E78</f>
        <v>9.7290814963776757</v>
      </c>
      <c r="AF4" s="8">
        <f>generation!$C3*distribution!$E78</f>
        <v>9.7290814963776757</v>
      </c>
      <c r="AG4" s="8">
        <f>generation!$C3*distribution!$E78</f>
        <v>9.7290814963776757</v>
      </c>
      <c r="AH4" s="8">
        <f>generation!$C3*distribution!$E78</f>
        <v>9.7290814963776757</v>
      </c>
      <c r="AI4" s="10">
        <f t="shared" ref="AI4:AI30" si="0">SUM(G4:AH4)</f>
        <v>272.41428189857504</v>
      </c>
    </row>
    <row r="5" spans="1:35" x14ac:dyDescent="0.55000000000000004">
      <c r="A5" s="2">
        <v>5</v>
      </c>
      <c r="B5" s="2">
        <v>318</v>
      </c>
      <c r="F5" s="3">
        <v>3</v>
      </c>
      <c r="G5" s="8">
        <f>generation!$C4*distribution!$E79</f>
        <v>8.8325155010287251</v>
      </c>
      <c r="H5" s="8">
        <f>generation!$C4*distribution!$E79</f>
        <v>8.8325155010287251</v>
      </c>
      <c r="I5" s="8">
        <f>generation!$C4*distribution!$E79</f>
        <v>8.8325155010287251</v>
      </c>
      <c r="J5" s="8">
        <f>generation!$C4*distribution!$E79</f>
        <v>8.8325155010287251</v>
      </c>
      <c r="K5" s="8">
        <f>generation!$C4*distribution!$E79</f>
        <v>8.8325155010287251</v>
      </c>
      <c r="L5" s="8">
        <f>generation!$C4*distribution!$E79</f>
        <v>8.8325155010287251</v>
      </c>
      <c r="M5" s="8">
        <f>generation!$C4*distribution!$E79</f>
        <v>8.8325155010287251</v>
      </c>
      <c r="N5" s="8">
        <f>generation!$C4*distribution!$E79</f>
        <v>8.8325155010287251</v>
      </c>
      <c r="O5" s="8">
        <f>generation!$C4*distribution!$E79</f>
        <v>8.8325155010287251</v>
      </c>
      <c r="P5" s="8">
        <f>generation!$C4*distribution!$E79</f>
        <v>8.8325155010287251</v>
      </c>
      <c r="Q5" s="8">
        <f>generation!$C4*distribution!$E79</f>
        <v>8.8325155010287251</v>
      </c>
      <c r="R5" s="8">
        <f>generation!$C4*distribution!$E79</f>
        <v>8.8325155010287251</v>
      </c>
      <c r="S5" s="8">
        <f>generation!$C4*distribution!$E79</f>
        <v>8.8325155010287251</v>
      </c>
      <c r="T5" s="8">
        <f>generation!$C4*distribution!$E79</f>
        <v>8.8325155010287251</v>
      </c>
      <c r="U5" s="8">
        <f>generation!$C4*distribution!$E79</f>
        <v>8.8325155010287251</v>
      </c>
      <c r="V5" s="8">
        <f>generation!$C4*distribution!$E79</f>
        <v>8.8325155010287251</v>
      </c>
      <c r="W5" s="8">
        <f>generation!$C4*distribution!$E79</f>
        <v>8.8325155010287251</v>
      </c>
      <c r="X5" s="8">
        <f>generation!$C4*distribution!$E79</f>
        <v>8.8325155010287251</v>
      </c>
      <c r="Y5" s="8">
        <f>generation!$C4*distribution!$E79</f>
        <v>8.8325155010287251</v>
      </c>
      <c r="Z5" s="8">
        <f>generation!$C4*distribution!$E79</f>
        <v>8.8325155010287251</v>
      </c>
      <c r="AA5" s="8">
        <f>generation!$C4*distribution!$E79</f>
        <v>8.8325155010287251</v>
      </c>
      <c r="AB5" s="8">
        <f>generation!$C4*distribution!$E79</f>
        <v>8.8325155010287251</v>
      </c>
      <c r="AC5" s="8">
        <f>generation!$C4*distribution!$E79</f>
        <v>8.8325155010287251</v>
      </c>
      <c r="AD5" s="8">
        <f>generation!$C4*distribution!$E79</f>
        <v>8.8325155010287251</v>
      </c>
      <c r="AE5" s="8">
        <f>generation!$C4*distribution!$E79</f>
        <v>8.8325155010287251</v>
      </c>
      <c r="AF5" s="8">
        <f>generation!$C4*distribution!$E79</f>
        <v>8.8325155010287251</v>
      </c>
      <c r="AG5" s="8">
        <f>generation!$C4*distribution!$E79</f>
        <v>8.8325155010287251</v>
      </c>
      <c r="AH5" s="8">
        <f>generation!$C4*distribution!$E79</f>
        <v>8.8325155010287251</v>
      </c>
      <c r="AI5" s="10">
        <f t="shared" si="0"/>
        <v>247.31043402880428</v>
      </c>
    </row>
    <row r="6" spans="1:35" x14ac:dyDescent="0.55000000000000004">
      <c r="A6" s="2">
        <v>6</v>
      </c>
      <c r="B6" s="2">
        <v>1108</v>
      </c>
      <c r="F6" s="3">
        <v>5</v>
      </c>
      <c r="G6" s="8">
        <f>generation!$C5*distribution!$E80</f>
        <v>3.8759288343643132</v>
      </c>
      <c r="H6" s="8">
        <f>generation!$C5*distribution!$E80</f>
        <v>3.8759288343643132</v>
      </c>
      <c r="I6" s="8">
        <f>generation!$C5*distribution!$E80</f>
        <v>3.8759288343643132</v>
      </c>
      <c r="J6" s="8">
        <f>generation!$C5*distribution!$E80</f>
        <v>3.8759288343643132</v>
      </c>
      <c r="K6" s="8">
        <f>generation!$C5*distribution!$E80</f>
        <v>3.8759288343643132</v>
      </c>
      <c r="L6" s="8">
        <f>generation!$C5*distribution!$E80</f>
        <v>3.8759288343643132</v>
      </c>
      <c r="M6" s="8">
        <f>generation!$C5*distribution!$E80</f>
        <v>3.8759288343643132</v>
      </c>
      <c r="N6" s="8">
        <f>generation!$C5*distribution!$E80</f>
        <v>3.8759288343643132</v>
      </c>
      <c r="O6" s="8">
        <f>generation!$C5*distribution!$E80</f>
        <v>3.8759288343643132</v>
      </c>
      <c r="P6" s="8">
        <f>generation!$C5*distribution!$E80</f>
        <v>3.8759288343643132</v>
      </c>
      <c r="Q6" s="8">
        <f>generation!$C5*distribution!$E80</f>
        <v>3.8759288343643132</v>
      </c>
      <c r="R6" s="8">
        <f>generation!$C5*distribution!$E80</f>
        <v>3.8759288343643132</v>
      </c>
      <c r="S6" s="8">
        <f>generation!$C5*distribution!$E80</f>
        <v>3.8759288343643132</v>
      </c>
      <c r="T6" s="8">
        <f>generation!$C5*distribution!$E80</f>
        <v>3.8759288343643132</v>
      </c>
      <c r="U6" s="8">
        <f>generation!$C5*distribution!$E80</f>
        <v>3.8759288343643132</v>
      </c>
      <c r="V6" s="8">
        <f>generation!$C5*distribution!$E80</f>
        <v>3.8759288343643132</v>
      </c>
      <c r="W6" s="8">
        <f>generation!$C5*distribution!$E80</f>
        <v>3.8759288343643132</v>
      </c>
      <c r="X6" s="8">
        <f>generation!$C5*distribution!$E80</f>
        <v>3.8759288343643132</v>
      </c>
      <c r="Y6" s="8">
        <f>generation!$C5*distribution!$E80</f>
        <v>3.8759288343643132</v>
      </c>
      <c r="Z6" s="8">
        <f>generation!$C5*distribution!$E80</f>
        <v>3.8759288343643132</v>
      </c>
      <c r="AA6" s="8">
        <f>generation!$C5*distribution!$E80</f>
        <v>3.8759288343643132</v>
      </c>
      <c r="AB6" s="8">
        <f>generation!$C5*distribution!$E80</f>
        <v>3.8759288343643132</v>
      </c>
      <c r="AC6" s="8">
        <f>generation!$C5*distribution!$E80</f>
        <v>3.8759288343643132</v>
      </c>
      <c r="AD6" s="8">
        <f>generation!$C5*distribution!$E80</f>
        <v>3.8759288343643132</v>
      </c>
      <c r="AE6" s="8">
        <f>generation!$C5*distribution!$E80</f>
        <v>3.8759288343643132</v>
      </c>
      <c r="AF6" s="8">
        <f>generation!$C5*distribution!$E80</f>
        <v>3.8759288343643132</v>
      </c>
      <c r="AG6" s="8">
        <f>generation!$C5*distribution!$E80</f>
        <v>3.8759288343643132</v>
      </c>
      <c r="AH6" s="8">
        <f>generation!$C5*distribution!$E80</f>
        <v>3.8759288343643132</v>
      </c>
      <c r="AI6" s="10">
        <f t="shared" si="0"/>
        <v>108.52600736220083</v>
      </c>
    </row>
    <row r="7" spans="1:35" x14ac:dyDescent="0.55000000000000004">
      <c r="A7" s="2">
        <v>7</v>
      </c>
      <c r="B7" s="2">
        <v>1067</v>
      </c>
      <c r="F7" s="3">
        <v>6</v>
      </c>
      <c r="G7" s="8">
        <f>generation!$C6*distribution!$E81</f>
        <v>16.53427816736351</v>
      </c>
      <c r="H7" s="8">
        <f>generation!$C6*distribution!$E81</f>
        <v>16.53427816736351</v>
      </c>
      <c r="I7" s="8">
        <f>generation!$C6*distribution!$E81</f>
        <v>16.53427816736351</v>
      </c>
      <c r="J7" s="8">
        <f>generation!$C6*distribution!$E81</f>
        <v>16.53427816736351</v>
      </c>
      <c r="K7" s="8">
        <f>generation!$C6*distribution!$E81</f>
        <v>16.53427816736351</v>
      </c>
      <c r="L7" s="8">
        <f>generation!$C6*distribution!$E81</f>
        <v>16.53427816736351</v>
      </c>
      <c r="M7" s="8">
        <f>generation!$C6*distribution!$E81</f>
        <v>16.53427816736351</v>
      </c>
      <c r="N7" s="8">
        <f>generation!$C6*distribution!$E81</f>
        <v>16.53427816736351</v>
      </c>
      <c r="O7" s="8">
        <f>generation!$C6*distribution!$E81</f>
        <v>16.53427816736351</v>
      </c>
      <c r="P7" s="8">
        <f>generation!$C6*distribution!$E81</f>
        <v>16.53427816736351</v>
      </c>
      <c r="Q7" s="8">
        <f>generation!$C6*distribution!$E81</f>
        <v>16.53427816736351</v>
      </c>
      <c r="R7" s="8">
        <f>generation!$C6*distribution!$E81</f>
        <v>16.53427816736351</v>
      </c>
      <c r="S7" s="8">
        <f>generation!$C6*distribution!$E81</f>
        <v>16.53427816736351</v>
      </c>
      <c r="T7" s="8">
        <f>generation!$C6*distribution!$E81</f>
        <v>16.53427816736351</v>
      </c>
      <c r="U7" s="8">
        <f>generation!$C6*distribution!$E81</f>
        <v>16.53427816736351</v>
      </c>
      <c r="V7" s="8">
        <f>generation!$C6*distribution!$E81</f>
        <v>16.53427816736351</v>
      </c>
      <c r="W7" s="8">
        <f>generation!$C6*distribution!$E81</f>
        <v>16.53427816736351</v>
      </c>
      <c r="X7" s="8">
        <f>generation!$C6*distribution!$E81</f>
        <v>16.53427816736351</v>
      </c>
      <c r="Y7" s="8">
        <f>generation!$C6*distribution!$E81</f>
        <v>16.53427816736351</v>
      </c>
      <c r="Z7" s="8">
        <f>generation!$C6*distribution!$E81</f>
        <v>16.53427816736351</v>
      </c>
      <c r="AA7" s="8">
        <f>generation!$C6*distribution!$E81</f>
        <v>16.53427816736351</v>
      </c>
      <c r="AB7" s="8">
        <f>generation!$C6*distribution!$E81</f>
        <v>16.53427816736351</v>
      </c>
      <c r="AC7" s="8">
        <f>generation!$C6*distribution!$E81</f>
        <v>16.53427816736351</v>
      </c>
      <c r="AD7" s="8">
        <f>generation!$C6*distribution!$E81</f>
        <v>16.53427816736351</v>
      </c>
      <c r="AE7" s="8">
        <f>generation!$C6*distribution!$E81</f>
        <v>16.53427816736351</v>
      </c>
      <c r="AF7" s="8">
        <f>generation!$C6*distribution!$E81</f>
        <v>16.53427816736351</v>
      </c>
      <c r="AG7" s="8">
        <f>generation!$C6*distribution!$E81</f>
        <v>16.53427816736351</v>
      </c>
      <c r="AH7" s="8">
        <f>generation!$C6*distribution!$E81</f>
        <v>16.53427816736351</v>
      </c>
      <c r="AI7" s="10">
        <f t="shared" si="0"/>
        <v>462.95978868617794</v>
      </c>
    </row>
    <row r="8" spans="1:35" x14ac:dyDescent="0.55000000000000004">
      <c r="A8" s="2">
        <v>8</v>
      </c>
      <c r="B8" s="2">
        <v>1488</v>
      </c>
      <c r="F8" s="3">
        <v>7</v>
      </c>
      <c r="G8" s="8">
        <f>generation!$C7*distribution!$E82</f>
        <v>14.069515399467022</v>
      </c>
      <c r="H8" s="8">
        <f>generation!$C7*distribution!$E82</f>
        <v>14.069515399467022</v>
      </c>
      <c r="I8" s="8">
        <f>generation!$C7*distribution!$E82</f>
        <v>14.069515399467022</v>
      </c>
      <c r="J8" s="8">
        <f>generation!$C7*distribution!$E82</f>
        <v>14.069515399467022</v>
      </c>
      <c r="K8" s="8">
        <f>generation!$C7*distribution!$E82</f>
        <v>14.069515399467022</v>
      </c>
      <c r="L8" s="8">
        <f>generation!$C7*distribution!$E82</f>
        <v>14.069515399467022</v>
      </c>
      <c r="M8" s="8">
        <f>generation!$C7*distribution!$E82</f>
        <v>14.069515399467022</v>
      </c>
      <c r="N8" s="8">
        <f>generation!$C7*distribution!$E82</f>
        <v>14.069515399467022</v>
      </c>
      <c r="O8" s="8">
        <f>generation!$C7*distribution!$E82</f>
        <v>14.069515399467022</v>
      </c>
      <c r="P8" s="8">
        <f>generation!$C7*distribution!$E82</f>
        <v>14.069515399467022</v>
      </c>
      <c r="Q8" s="8">
        <f>generation!$C7*distribution!$E82</f>
        <v>14.069515399467022</v>
      </c>
      <c r="R8" s="8">
        <f>generation!$C7*distribution!$E82</f>
        <v>14.069515399467022</v>
      </c>
      <c r="S8" s="8">
        <f>generation!$C7*distribution!$E82</f>
        <v>14.069515399467022</v>
      </c>
      <c r="T8" s="8">
        <f>generation!$C7*distribution!$E82</f>
        <v>14.069515399467022</v>
      </c>
      <c r="U8" s="8">
        <f>generation!$C7*distribution!$E82</f>
        <v>14.069515399467022</v>
      </c>
      <c r="V8" s="8">
        <f>generation!$C7*distribution!$E82</f>
        <v>14.069515399467022</v>
      </c>
      <c r="W8" s="8">
        <f>generation!$C7*distribution!$E82</f>
        <v>14.069515399467022</v>
      </c>
      <c r="X8" s="8">
        <f>generation!$C7*distribution!$E82</f>
        <v>14.069515399467022</v>
      </c>
      <c r="Y8" s="8">
        <f>generation!$C7*distribution!$E82</f>
        <v>14.069515399467022</v>
      </c>
      <c r="Z8" s="8">
        <f>generation!$C7*distribution!$E82</f>
        <v>14.069515399467022</v>
      </c>
      <c r="AA8" s="8">
        <f>generation!$C7*distribution!$E82</f>
        <v>14.069515399467022</v>
      </c>
      <c r="AB8" s="8">
        <f>generation!$C7*distribution!$E82</f>
        <v>14.069515399467022</v>
      </c>
      <c r="AC8" s="8">
        <f>generation!$C7*distribution!$E82</f>
        <v>14.069515399467022</v>
      </c>
      <c r="AD8" s="8">
        <f>generation!$C7*distribution!$E82</f>
        <v>14.069515399467022</v>
      </c>
      <c r="AE8" s="8">
        <f>generation!$C7*distribution!$E82</f>
        <v>14.069515399467022</v>
      </c>
      <c r="AF8" s="8">
        <f>generation!$C7*distribution!$E82</f>
        <v>14.069515399467022</v>
      </c>
      <c r="AG8" s="8">
        <f>generation!$C7*distribution!$E82</f>
        <v>14.069515399467022</v>
      </c>
      <c r="AH8" s="8">
        <f>generation!$C7*distribution!$E82</f>
        <v>14.069515399467022</v>
      </c>
      <c r="AI8" s="10">
        <f t="shared" si="0"/>
        <v>393.94643118507685</v>
      </c>
    </row>
    <row r="9" spans="1:35" x14ac:dyDescent="0.55000000000000004">
      <c r="A9" s="2">
        <v>9</v>
      </c>
      <c r="B9" s="2">
        <v>500</v>
      </c>
      <c r="F9" s="3">
        <v>8</v>
      </c>
      <c r="G9" s="8">
        <f>generation!$C8*distribution!$E83</f>
        <v>19.908274142862506</v>
      </c>
      <c r="H9" s="8">
        <f>generation!$C8*distribution!$E83</f>
        <v>19.908274142862506</v>
      </c>
      <c r="I9" s="8">
        <f>generation!$C8*distribution!$E83</f>
        <v>19.908274142862506</v>
      </c>
      <c r="J9" s="8">
        <f>generation!$C8*distribution!$E83</f>
        <v>19.908274142862506</v>
      </c>
      <c r="K9" s="8">
        <f>generation!$C8*distribution!$E83</f>
        <v>19.908274142862506</v>
      </c>
      <c r="L9" s="8">
        <f>generation!$C8*distribution!$E83</f>
        <v>19.908274142862506</v>
      </c>
      <c r="M9" s="8">
        <f>generation!$C8*distribution!$E83</f>
        <v>19.908274142862506</v>
      </c>
      <c r="N9" s="8">
        <f>generation!$C8*distribution!$E83</f>
        <v>19.908274142862506</v>
      </c>
      <c r="O9" s="8">
        <f>generation!$C8*distribution!$E83</f>
        <v>19.908274142862506</v>
      </c>
      <c r="P9" s="8">
        <f>generation!$C8*distribution!$E83</f>
        <v>19.908274142862506</v>
      </c>
      <c r="Q9" s="8">
        <f>generation!$C8*distribution!$E83</f>
        <v>19.908274142862506</v>
      </c>
      <c r="R9" s="8">
        <f>generation!$C8*distribution!$E83</f>
        <v>19.908274142862506</v>
      </c>
      <c r="S9" s="8">
        <f>generation!$C8*distribution!$E83</f>
        <v>19.908274142862506</v>
      </c>
      <c r="T9" s="8">
        <f>generation!$C8*distribution!$E83</f>
        <v>19.908274142862506</v>
      </c>
      <c r="U9" s="8">
        <f>generation!$C8*distribution!$E83</f>
        <v>19.908274142862506</v>
      </c>
      <c r="V9" s="8">
        <f>generation!$C8*distribution!$E83</f>
        <v>19.908274142862506</v>
      </c>
      <c r="W9" s="8">
        <f>generation!$C8*distribution!$E83</f>
        <v>19.908274142862506</v>
      </c>
      <c r="X9" s="8">
        <f>generation!$C8*distribution!$E83</f>
        <v>19.908274142862506</v>
      </c>
      <c r="Y9" s="8">
        <f>generation!$C8*distribution!$E83</f>
        <v>19.908274142862506</v>
      </c>
      <c r="Z9" s="8">
        <f>generation!$C8*distribution!$E83</f>
        <v>19.908274142862506</v>
      </c>
      <c r="AA9" s="8">
        <f>generation!$C8*distribution!$E83</f>
        <v>19.908274142862506</v>
      </c>
      <c r="AB9" s="8">
        <f>generation!$C8*distribution!$E83</f>
        <v>19.908274142862506</v>
      </c>
      <c r="AC9" s="8">
        <f>generation!$C8*distribution!$E83</f>
        <v>19.908274142862506</v>
      </c>
      <c r="AD9" s="8">
        <f>generation!$C8*distribution!$E83</f>
        <v>19.908274142862506</v>
      </c>
      <c r="AE9" s="8">
        <f>generation!$C8*distribution!$E83</f>
        <v>19.908274142862506</v>
      </c>
      <c r="AF9" s="8">
        <f>generation!$C8*distribution!$E83</f>
        <v>19.908274142862506</v>
      </c>
      <c r="AG9" s="8">
        <f>generation!$C8*distribution!$E83</f>
        <v>19.908274142862506</v>
      </c>
      <c r="AH9" s="8">
        <f>generation!$C8*distribution!$E83</f>
        <v>19.908274142862506</v>
      </c>
      <c r="AI9" s="10">
        <f t="shared" si="0"/>
        <v>557.43167600015033</v>
      </c>
    </row>
    <row r="10" spans="1:35" x14ac:dyDescent="0.55000000000000004">
      <c r="A10" s="2">
        <v>10</v>
      </c>
      <c r="B10" s="2">
        <v>882</v>
      </c>
      <c r="F10" s="3">
        <v>9</v>
      </c>
      <c r="G10" s="8">
        <f>generation!$C9*distribution!$E84</f>
        <v>4.9311701005017721</v>
      </c>
      <c r="H10" s="8">
        <f>generation!$C9*distribution!$E84</f>
        <v>4.9311701005017721</v>
      </c>
      <c r="I10" s="8">
        <f>generation!$C9*distribution!$E84</f>
        <v>4.9311701005017721</v>
      </c>
      <c r="J10" s="8">
        <f>generation!$C9*distribution!$E84</f>
        <v>4.9311701005017721</v>
      </c>
      <c r="K10" s="8">
        <f>generation!$C9*distribution!$E84</f>
        <v>4.9311701005017721</v>
      </c>
      <c r="L10" s="8">
        <f>generation!$C9*distribution!$E84</f>
        <v>4.9311701005017721</v>
      </c>
      <c r="M10" s="8">
        <f>generation!$C9*distribution!$E84</f>
        <v>4.9311701005017721</v>
      </c>
      <c r="N10" s="8">
        <f>generation!$C9*distribution!$E84</f>
        <v>4.9311701005017721</v>
      </c>
      <c r="O10" s="8">
        <f>generation!$C9*distribution!$E84</f>
        <v>4.9311701005017721</v>
      </c>
      <c r="P10" s="8">
        <f>generation!$C9*distribution!$E84</f>
        <v>4.9311701005017721</v>
      </c>
      <c r="Q10" s="8">
        <f>generation!$C9*distribution!$E84</f>
        <v>4.9311701005017721</v>
      </c>
      <c r="R10" s="8">
        <f>generation!$C9*distribution!$E84</f>
        <v>4.9311701005017721</v>
      </c>
      <c r="S10" s="8">
        <f>generation!$C9*distribution!$E84</f>
        <v>4.9311701005017721</v>
      </c>
      <c r="T10" s="8">
        <f>generation!$C9*distribution!$E84</f>
        <v>4.9311701005017721</v>
      </c>
      <c r="U10" s="8">
        <f>generation!$C9*distribution!$E84</f>
        <v>4.9311701005017721</v>
      </c>
      <c r="V10" s="8">
        <f>generation!$C9*distribution!$E84</f>
        <v>4.9311701005017721</v>
      </c>
      <c r="W10" s="8">
        <f>generation!$C9*distribution!$E84</f>
        <v>4.9311701005017721</v>
      </c>
      <c r="X10" s="8">
        <f>generation!$C9*distribution!$E84</f>
        <v>4.9311701005017721</v>
      </c>
      <c r="Y10" s="8">
        <f>generation!$C9*distribution!$E84</f>
        <v>4.9311701005017721</v>
      </c>
      <c r="Z10" s="8">
        <f>generation!$C9*distribution!$E84</f>
        <v>4.9311701005017721</v>
      </c>
      <c r="AA10" s="8">
        <f>generation!$C9*distribution!$E84</f>
        <v>4.9311701005017721</v>
      </c>
      <c r="AB10" s="8">
        <f>generation!$C9*distribution!$E84</f>
        <v>4.9311701005017721</v>
      </c>
      <c r="AC10" s="8">
        <f>generation!$C9*distribution!$E84</f>
        <v>4.9311701005017721</v>
      </c>
      <c r="AD10" s="8">
        <f>generation!$C9*distribution!$E84</f>
        <v>4.9311701005017721</v>
      </c>
      <c r="AE10" s="8">
        <f>generation!$C9*distribution!$E84</f>
        <v>4.9311701005017721</v>
      </c>
      <c r="AF10" s="8">
        <f>generation!$C9*distribution!$E84</f>
        <v>4.9311701005017721</v>
      </c>
      <c r="AG10" s="8">
        <f>generation!$C9*distribution!$E84</f>
        <v>4.9311701005017721</v>
      </c>
      <c r="AH10" s="8">
        <f>generation!$C9*distribution!$E84</f>
        <v>4.9311701005017721</v>
      </c>
      <c r="AI10" s="10">
        <f t="shared" si="0"/>
        <v>138.07276281404961</v>
      </c>
    </row>
    <row r="11" spans="1:35" x14ac:dyDescent="0.55000000000000004">
      <c r="A11" s="2">
        <v>11</v>
      </c>
      <c r="B11" s="2">
        <v>61</v>
      </c>
      <c r="F11" s="3">
        <v>10</v>
      </c>
      <c r="G11" s="8">
        <f>generation!$C10*distribution!$E85</f>
        <v>11.216719568753694</v>
      </c>
      <c r="H11" s="8">
        <f>generation!$C10*distribution!$E85</f>
        <v>11.216719568753694</v>
      </c>
      <c r="I11" s="8">
        <f>generation!$C10*distribution!$E85</f>
        <v>11.216719568753694</v>
      </c>
      <c r="J11" s="8">
        <f>generation!$C10*distribution!$E85</f>
        <v>11.216719568753694</v>
      </c>
      <c r="K11" s="8">
        <f>generation!$C10*distribution!$E85</f>
        <v>11.216719568753694</v>
      </c>
      <c r="L11" s="8">
        <f>generation!$C10*distribution!$E85</f>
        <v>11.216719568753694</v>
      </c>
      <c r="M11" s="8">
        <f>generation!$C10*distribution!$E85</f>
        <v>11.216719568753694</v>
      </c>
      <c r="N11" s="8">
        <f>generation!$C10*distribution!$E85</f>
        <v>11.216719568753694</v>
      </c>
      <c r="O11" s="8">
        <f>generation!$C10*distribution!$E85</f>
        <v>11.216719568753694</v>
      </c>
      <c r="P11" s="8">
        <f>generation!$C10*distribution!$E85</f>
        <v>11.216719568753694</v>
      </c>
      <c r="Q11" s="8">
        <f>generation!$C10*distribution!$E85</f>
        <v>11.216719568753694</v>
      </c>
      <c r="R11" s="8">
        <f>generation!$C10*distribution!$E85</f>
        <v>11.216719568753694</v>
      </c>
      <c r="S11" s="8">
        <f>generation!$C10*distribution!$E85</f>
        <v>11.216719568753694</v>
      </c>
      <c r="T11" s="8">
        <f>generation!$C10*distribution!$E85</f>
        <v>11.216719568753694</v>
      </c>
      <c r="U11" s="8">
        <f>generation!$C10*distribution!$E85</f>
        <v>11.216719568753694</v>
      </c>
      <c r="V11" s="8">
        <f>generation!$C10*distribution!$E85</f>
        <v>11.216719568753694</v>
      </c>
      <c r="W11" s="8">
        <f>generation!$C10*distribution!$E85</f>
        <v>11.216719568753694</v>
      </c>
      <c r="X11" s="8">
        <f>generation!$C10*distribution!$E85</f>
        <v>11.216719568753694</v>
      </c>
      <c r="Y11" s="8">
        <f>generation!$C10*distribution!$E85</f>
        <v>11.216719568753694</v>
      </c>
      <c r="Z11" s="8">
        <f>generation!$C10*distribution!$E85</f>
        <v>11.216719568753694</v>
      </c>
      <c r="AA11" s="8">
        <f>generation!$C10*distribution!$E85</f>
        <v>11.216719568753694</v>
      </c>
      <c r="AB11" s="8">
        <f>generation!$C10*distribution!$E85</f>
        <v>11.216719568753694</v>
      </c>
      <c r="AC11" s="8">
        <f>generation!$C10*distribution!$E85</f>
        <v>11.216719568753694</v>
      </c>
      <c r="AD11" s="8">
        <f>generation!$C10*distribution!$E85</f>
        <v>11.216719568753694</v>
      </c>
      <c r="AE11" s="8">
        <f>generation!$C10*distribution!$E85</f>
        <v>11.216719568753694</v>
      </c>
      <c r="AF11" s="8">
        <f>generation!$C10*distribution!$E85</f>
        <v>11.216719568753694</v>
      </c>
      <c r="AG11" s="8">
        <f>generation!$C10*distribution!$E85</f>
        <v>11.216719568753694</v>
      </c>
      <c r="AH11" s="8">
        <f>generation!$C10*distribution!$E85</f>
        <v>11.216719568753694</v>
      </c>
      <c r="AI11" s="10">
        <f t="shared" si="0"/>
        <v>314.06814792510346</v>
      </c>
    </row>
    <row r="12" spans="1:35" x14ac:dyDescent="0.55000000000000004">
      <c r="A12" s="2">
        <v>12</v>
      </c>
      <c r="B12" s="2">
        <v>386</v>
      </c>
      <c r="F12" s="3">
        <v>11</v>
      </c>
      <c r="G12" s="8">
        <f>generation!$C11*distribution!$E86</f>
        <v>0.74050944235651506</v>
      </c>
      <c r="H12" s="8">
        <f>generation!$C11*distribution!$E86</f>
        <v>0.74050944235651506</v>
      </c>
      <c r="I12" s="8">
        <f>generation!$C11*distribution!$E86</f>
        <v>0.74050944235651506</v>
      </c>
      <c r="J12" s="8">
        <f>generation!$C11*distribution!$E86</f>
        <v>0.74050944235651506</v>
      </c>
      <c r="K12" s="8">
        <f>generation!$C11*distribution!$E86</f>
        <v>0.74050944235651506</v>
      </c>
      <c r="L12" s="8">
        <f>generation!$C11*distribution!$E86</f>
        <v>0.74050944235651506</v>
      </c>
      <c r="M12" s="8">
        <f>generation!$C11*distribution!$E86</f>
        <v>0.74050944235651506</v>
      </c>
      <c r="N12" s="8">
        <f>generation!$C11*distribution!$E86</f>
        <v>0.74050944235651506</v>
      </c>
      <c r="O12" s="8">
        <f>generation!$C11*distribution!$E86</f>
        <v>0.74050944235651506</v>
      </c>
      <c r="P12" s="8">
        <f>generation!$C11*distribution!$E86</f>
        <v>0.74050944235651506</v>
      </c>
      <c r="Q12" s="8">
        <f>generation!$C11*distribution!$E86</f>
        <v>0.74050944235651506</v>
      </c>
      <c r="R12" s="8">
        <f>generation!$C11*distribution!$E86</f>
        <v>0.74050944235651506</v>
      </c>
      <c r="S12" s="8">
        <f>generation!$C11*distribution!$E86</f>
        <v>0.74050944235651506</v>
      </c>
      <c r="T12" s="8">
        <f>generation!$C11*distribution!$E86</f>
        <v>0.74050944235651506</v>
      </c>
      <c r="U12" s="8">
        <f>generation!$C11*distribution!$E86</f>
        <v>0.74050944235651506</v>
      </c>
      <c r="V12" s="8">
        <f>generation!$C11*distribution!$E86</f>
        <v>0.74050944235651506</v>
      </c>
      <c r="W12" s="8">
        <f>generation!$C11*distribution!$E86</f>
        <v>0.74050944235651506</v>
      </c>
      <c r="X12" s="8">
        <f>generation!$C11*distribution!$E86</f>
        <v>0.74050944235651506</v>
      </c>
      <c r="Y12" s="8">
        <f>generation!$C11*distribution!$E86</f>
        <v>0.74050944235651506</v>
      </c>
      <c r="Z12" s="8">
        <f>generation!$C11*distribution!$E86</f>
        <v>0.74050944235651506</v>
      </c>
      <c r="AA12" s="8">
        <f>generation!$C11*distribution!$E86</f>
        <v>0.74050944235651506</v>
      </c>
      <c r="AB12" s="8">
        <f>generation!$C11*distribution!$E86</f>
        <v>0.74050944235651506</v>
      </c>
      <c r="AC12" s="8">
        <f>generation!$C11*distribution!$E86</f>
        <v>0.74050944235651506</v>
      </c>
      <c r="AD12" s="8">
        <f>generation!$C11*distribution!$E86</f>
        <v>0.74050944235651506</v>
      </c>
      <c r="AE12" s="8">
        <f>generation!$C11*distribution!$E86</f>
        <v>0.74050944235651506</v>
      </c>
      <c r="AF12" s="8">
        <f>generation!$C11*distribution!$E86</f>
        <v>0.74050944235651506</v>
      </c>
      <c r="AG12" s="8">
        <f>generation!$C11*distribution!$E86</f>
        <v>0.74050944235651506</v>
      </c>
      <c r="AH12" s="8">
        <f>generation!$C11*distribution!$E86</f>
        <v>0.74050944235651506</v>
      </c>
      <c r="AI12" s="10">
        <f t="shared" si="0"/>
        <v>20.734264385982424</v>
      </c>
    </row>
    <row r="13" spans="1:35" x14ac:dyDescent="0.55000000000000004">
      <c r="A13" s="2">
        <v>13</v>
      </c>
      <c r="B13" s="2">
        <v>535</v>
      </c>
      <c r="F13" s="3">
        <v>12</v>
      </c>
      <c r="G13" s="8">
        <f>generation!$C12*distribution!$E87</f>
        <v>4.7019893899238667</v>
      </c>
      <c r="H13" s="8">
        <f>generation!$C12*distribution!$E87</f>
        <v>4.7019893899238667</v>
      </c>
      <c r="I13" s="8">
        <f>generation!$C12*distribution!$E87</f>
        <v>4.7019893899238667</v>
      </c>
      <c r="J13" s="8">
        <f>generation!$C12*distribution!$E87</f>
        <v>4.7019893899238667</v>
      </c>
      <c r="K13" s="8">
        <f>generation!$C12*distribution!$E87</f>
        <v>4.7019893899238667</v>
      </c>
      <c r="L13" s="8">
        <f>generation!$C12*distribution!$E87</f>
        <v>4.7019893899238667</v>
      </c>
      <c r="M13" s="8">
        <f>generation!$C12*distribution!$E87</f>
        <v>4.7019893899238667</v>
      </c>
      <c r="N13" s="8">
        <f>generation!$C12*distribution!$E87</f>
        <v>4.7019893899238667</v>
      </c>
      <c r="O13" s="8">
        <f>generation!$C12*distribution!$E87</f>
        <v>4.7019893899238667</v>
      </c>
      <c r="P13" s="8">
        <f>generation!$C12*distribution!$E87</f>
        <v>4.7019893899238667</v>
      </c>
      <c r="Q13" s="8">
        <f>generation!$C12*distribution!$E87</f>
        <v>4.7019893899238667</v>
      </c>
      <c r="R13" s="8">
        <f>generation!$C12*distribution!$E87</f>
        <v>4.7019893899238667</v>
      </c>
      <c r="S13" s="8">
        <f>generation!$C12*distribution!$E87</f>
        <v>4.7019893899238667</v>
      </c>
      <c r="T13" s="8">
        <f>generation!$C12*distribution!$E87</f>
        <v>4.7019893899238667</v>
      </c>
      <c r="U13" s="8">
        <f>generation!$C12*distribution!$E87</f>
        <v>4.7019893899238667</v>
      </c>
      <c r="V13" s="8">
        <f>generation!$C12*distribution!$E87</f>
        <v>4.7019893899238667</v>
      </c>
      <c r="W13" s="8">
        <f>generation!$C12*distribution!$E87</f>
        <v>4.7019893899238667</v>
      </c>
      <c r="X13" s="8">
        <f>generation!$C12*distribution!$E87</f>
        <v>4.7019893899238667</v>
      </c>
      <c r="Y13" s="8">
        <f>generation!$C12*distribution!$E87</f>
        <v>4.7019893899238667</v>
      </c>
      <c r="Z13" s="8">
        <f>generation!$C12*distribution!$E87</f>
        <v>4.7019893899238667</v>
      </c>
      <c r="AA13" s="8">
        <f>generation!$C12*distribution!$E87</f>
        <v>4.7019893899238667</v>
      </c>
      <c r="AB13" s="8">
        <f>generation!$C12*distribution!$E87</f>
        <v>4.7019893899238667</v>
      </c>
      <c r="AC13" s="8">
        <f>generation!$C12*distribution!$E87</f>
        <v>4.7019893899238667</v>
      </c>
      <c r="AD13" s="8">
        <f>generation!$C12*distribution!$E87</f>
        <v>4.7019893899238667</v>
      </c>
      <c r="AE13" s="8">
        <f>generation!$C12*distribution!$E87</f>
        <v>4.7019893899238667</v>
      </c>
      <c r="AF13" s="8">
        <f>generation!$C12*distribution!$E87</f>
        <v>4.7019893899238667</v>
      </c>
      <c r="AG13" s="8">
        <f>generation!$C12*distribution!$E87</f>
        <v>4.7019893899238667</v>
      </c>
      <c r="AH13" s="8">
        <f>generation!$C12*distribution!$E87</f>
        <v>4.7019893899238667</v>
      </c>
      <c r="AI13" s="10">
        <f t="shared" si="0"/>
        <v>131.65570291786827</v>
      </c>
    </row>
    <row r="14" spans="1:35" x14ac:dyDescent="0.55000000000000004">
      <c r="A14" s="2">
        <v>14</v>
      </c>
      <c r="B14" s="2">
        <v>539</v>
      </c>
      <c r="F14" s="3">
        <v>13</v>
      </c>
      <c r="G14" s="8">
        <f>generation!$C13*distribution!$E88</f>
        <v>5.7940882602342949</v>
      </c>
      <c r="H14" s="8">
        <f>generation!$C13*distribution!$E88</f>
        <v>5.7940882602342949</v>
      </c>
      <c r="I14" s="8">
        <f>generation!$C13*distribution!$E88</f>
        <v>5.7940882602342949</v>
      </c>
      <c r="J14" s="8">
        <f>generation!$C13*distribution!$E88</f>
        <v>5.7940882602342949</v>
      </c>
      <c r="K14" s="8">
        <f>generation!$C13*distribution!$E88</f>
        <v>5.7940882602342949</v>
      </c>
      <c r="L14" s="8">
        <f>generation!$C13*distribution!$E88</f>
        <v>5.7940882602342949</v>
      </c>
      <c r="M14" s="8">
        <f>generation!$C13*distribution!$E88</f>
        <v>5.7940882602342949</v>
      </c>
      <c r="N14" s="8">
        <f>generation!$C13*distribution!$E88</f>
        <v>5.7940882602342949</v>
      </c>
      <c r="O14" s="8">
        <f>generation!$C13*distribution!$E88</f>
        <v>5.7940882602342949</v>
      </c>
      <c r="P14" s="8">
        <f>generation!$C13*distribution!$E88</f>
        <v>5.7940882602342949</v>
      </c>
      <c r="Q14" s="8">
        <f>generation!$C13*distribution!$E88</f>
        <v>5.7940882602342949</v>
      </c>
      <c r="R14" s="8">
        <f>generation!$C13*distribution!$E88</f>
        <v>5.7940882602342949</v>
      </c>
      <c r="S14" s="8">
        <f>generation!$C13*distribution!$E88</f>
        <v>5.7940882602342949</v>
      </c>
      <c r="T14" s="8">
        <f>generation!$C13*distribution!$E88</f>
        <v>5.7940882602342949</v>
      </c>
      <c r="U14" s="8">
        <f>generation!$C13*distribution!$E88</f>
        <v>5.7940882602342949</v>
      </c>
      <c r="V14" s="8">
        <f>generation!$C13*distribution!$E88</f>
        <v>5.7940882602342949</v>
      </c>
      <c r="W14" s="8">
        <f>generation!$C13*distribution!$E88</f>
        <v>5.7940882602342949</v>
      </c>
      <c r="X14" s="8">
        <f>generation!$C13*distribution!$E88</f>
        <v>5.7940882602342949</v>
      </c>
      <c r="Y14" s="8">
        <f>generation!$C13*distribution!$E88</f>
        <v>5.7940882602342949</v>
      </c>
      <c r="Z14" s="8">
        <f>generation!$C13*distribution!$E88</f>
        <v>5.7940882602342949</v>
      </c>
      <c r="AA14" s="8">
        <f>generation!$C13*distribution!$E88</f>
        <v>5.7940882602342949</v>
      </c>
      <c r="AB14" s="8">
        <f>generation!$C13*distribution!$E88</f>
        <v>5.7940882602342949</v>
      </c>
      <c r="AC14" s="8">
        <f>generation!$C13*distribution!$E88</f>
        <v>5.7940882602342949</v>
      </c>
      <c r="AD14" s="8">
        <f>generation!$C13*distribution!$E88</f>
        <v>5.7940882602342949</v>
      </c>
      <c r="AE14" s="8">
        <f>generation!$C13*distribution!$E88</f>
        <v>5.7940882602342949</v>
      </c>
      <c r="AF14" s="8">
        <f>generation!$C13*distribution!$E88</f>
        <v>5.7940882602342949</v>
      </c>
      <c r="AG14" s="8">
        <f>generation!$C13*distribution!$E88</f>
        <v>5.7940882602342949</v>
      </c>
      <c r="AH14" s="8">
        <f>generation!$C13*distribution!$E88</f>
        <v>5.7940882602342949</v>
      </c>
      <c r="AI14" s="10">
        <f t="shared" si="0"/>
        <v>162.23447128656025</v>
      </c>
    </row>
    <row r="15" spans="1:35" x14ac:dyDescent="0.55000000000000004">
      <c r="A15" s="2">
        <v>15</v>
      </c>
      <c r="B15" s="2">
        <v>612</v>
      </c>
      <c r="F15" s="3">
        <v>14</v>
      </c>
      <c r="G15" s="8">
        <f>generation!$C14*distribution!$E89</f>
        <v>5.8506716974911601</v>
      </c>
      <c r="H15" s="8">
        <f>generation!$C14*distribution!$E89</f>
        <v>5.8506716974911601</v>
      </c>
      <c r="I15" s="8">
        <f>generation!$C14*distribution!$E89</f>
        <v>5.8506716974911601</v>
      </c>
      <c r="J15" s="8">
        <f>generation!$C14*distribution!$E89</f>
        <v>5.8506716974911601</v>
      </c>
      <c r="K15" s="8">
        <f>generation!$C14*distribution!$E89</f>
        <v>5.8506716974911601</v>
      </c>
      <c r="L15" s="8">
        <f>generation!$C14*distribution!$E89</f>
        <v>5.8506716974911601</v>
      </c>
      <c r="M15" s="8">
        <f>generation!$C14*distribution!$E89</f>
        <v>5.8506716974911601</v>
      </c>
      <c r="N15" s="8">
        <f>generation!$C14*distribution!$E89</f>
        <v>5.8506716974911601</v>
      </c>
      <c r="O15" s="8">
        <f>generation!$C14*distribution!$E89</f>
        <v>5.8506716974911601</v>
      </c>
      <c r="P15" s="8">
        <f>generation!$C14*distribution!$E89</f>
        <v>5.8506716974911601</v>
      </c>
      <c r="Q15" s="8">
        <f>generation!$C14*distribution!$E89</f>
        <v>5.8506716974911601</v>
      </c>
      <c r="R15" s="8">
        <f>generation!$C14*distribution!$E89</f>
        <v>5.8506716974911601</v>
      </c>
      <c r="S15" s="8">
        <f>generation!$C14*distribution!$E89</f>
        <v>5.8506716974911601</v>
      </c>
      <c r="T15" s="8">
        <f>generation!$C14*distribution!$E89</f>
        <v>5.8506716974911601</v>
      </c>
      <c r="U15" s="8">
        <f>generation!$C14*distribution!$E89</f>
        <v>5.8506716974911601</v>
      </c>
      <c r="V15" s="8">
        <f>generation!$C14*distribution!$E89</f>
        <v>5.8506716974911601</v>
      </c>
      <c r="W15" s="8">
        <f>generation!$C14*distribution!$E89</f>
        <v>5.8506716974911601</v>
      </c>
      <c r="X15" s="8">
        <f>generation!$C14*distribution!$E89</f>
        <v>5.8506716974911601</v>
      </c>
      <c r="Y15" s="8">
        <f>generation!$C14*distribution!$E89</f>
        <v>5.8506716974911601</v>
      </c>
      <c r="Z15" s="8">
        <f>generation!$C14*distribution!$E89</f>
        <v>5.8506716974911601</v>
      </c>
      <c r="AA15" s="8">
        <f>generation!$C14*distribution!$E89</f>
        <v>5.8506716974911601</v>
      </c>
      <c r="AB15" s="8">
        <f>generation!$C14*distribution!$E89</f>
        <v>5.8506716974911601</v>
      </c>
      <c r="AC15" s="8">
        <f>generation!$C14*distribution!$E89</f>
        <v>5.8506716974911601</v>
      </c>
      <c r="AD15" s="8">
        <f>generation!$C14*distribution!$E89</f>
        <v>5.8506716974911601</v>
      </c>
      <c r="AE15" s="8">
        <f>generation!$C14*distribution!$E89</f>
        <v>5.8506716974911601</v>
      </c>
      <c r="AF15" s="8">
        <f>generation!$C14*distribution!$E89</f>
        <v>5.8506716974911601</v>
      </c>
      <c r="AG15" s="8">
        <f>generation!$C14*distribution!$E89</f>
        <v>5.8506716974911601</v>
      </c>
      <c r="AH15" s="8">
        <f>generation!$C14*distribution!$E89</f>
        <v>5.8506716974911601</v>
      </c>
      <c r="AI15" s="10">
        <f t="shared" si="0"/>
        <v>163.81880752975246</v>
      </c>
    </row>
    <row r="16" spans="1:35" x14ac:dyDescent="0.55000000000000004">
      <c r="A16" s="2">
        <v>16</v>
      </c>
      <c r="B16" s="2">
        <v>380</v>
      </c>
      <c r="F16" s="3">
        <v>15</v>
      </c>
      <c r="G16" s="8">
        <f>generation!$C15*distribution!$E90</f>
        <v>6.9163122459550985</v>
      </c>
      <c r="H16" s="8">
        <f>generation!$C15*distribution!$E90</f>
        <v>6.9163122459550985</v>
      </c>
      <c r="I16" s="8">
        <f>generation!$C15*distribution!$E90</f>
        <v>6.9163122459550985</v>
      </c>
      <c r="J16" s="8">
        <f>generation!$C15*distribution!$E90</f>
        <v>6.9163122459550985</v>
      </c>
      <c r="K16" s="8">
        <f>generation!$C15*distribution!$E90</f>
        <v>6.9163122459550985</v>
      </c>
      <c r="L16" s="8">
        <f>generation!$C15*distribution!$E90</f>
        <v>6.9163122459550985</v>
      </c>
      <c r="M16" s="8">
        <f>generation!$C15*distribution!$E90</f>
        <v>6.9163122459550985</v>
      </c>
      <c r="N16" s="8">
        <f>generation!$C15*distribution!$E90</f>
        <v>6.9163122459550985</v>
      </c>
      <c r="O16" s="8">
        <f>generation!$C15*distribution!$E90</f>
        <v>6.9163122459550985</v>
      </c>
      <c r="P16" s="8">
        <f>generation!$C15*distribution!$E90</f>
        <v>6.9163122459550985</v>
      </c>
      <c r="Q16" s="8">
        <f>generation!$C15*distribution!$E90</f>
        <v>6.9163122459550985</v>
      </c>
      <c r="R16" s="8">
        <f>generation!$C15*distribution!$E90</f>
        <v>6.9163122459550985</v>
      </c>
      <c r="S16" s="8">
        <f>generation!$C15*distribution!$E90</f>
        <v>6.9163122459550985</v>
      </c>
      <c r="T16" s="8">
        <f>generation!$C15*distribution!$E90</f>
        <v>6.9163122459550985</v>
      </c>
      <c r="U16" s="8">
        <f>generation!$C15*distribution!$E90</f>
        <v>6.9163122459550985</v>
      </c>
      <c r="V16" s="8">
        <f>generation!$C15*distribution!$E90</f>
        <v>6.9163122459550985</v>
      </c>
      <c r="W16" s="8">
        <f>generation!$C15*distribution!$E90</f>
        <v>6.9163122459550985</v>
      </c>
      <c r="X16" s="8">
        <f>generation!$C15*distribution!$E90</f>
        <v>6.9163122459550985</v>
      </c>
      <c r="Y16" s="8">
        <f>generation!$C15*distribution!$E90</f>
        <v>6.9163122459550985</v>
      </c>
      <c r="Z16" s="8">
        <f>generation!$C15*distribution!$E90</f>
        <v>6.9163122459550985</v>
      </c>
      <c r="AA16" s="8">
        <f>generation!$C15*distribution!$E90</f>
        <v>6.9163122459550985</v>
      </c>
      <c r="AB16" s="8">
        <f>generation!$C15*distribution!$E90</f>
        <v>6.9163122459550985</v>
      </c>
      <c r="AC16" s="8">
        <f>generation!$C15*distribution!$E90</f>
        <v>6.9163122459550985</v>
      </c>
      <c r="AD16" s="8">
        <f>generation!$C15*distribution!$E90</f>
        <v>6.9163122459550985</v>
      </c>
      <c r="AE16" s="8">
        <f>generation!$C15*distribution!$E90</f>
        <v>6.9163122459550985</v>
      </c>
      <c r="AF16" s="8">
        <f>generation!$C15*distribution!$E90</f>
        <v>6.9163122459550985</v>
      </c>
      <c r="AG16" s="8">
        <f>generation!$C15*distribution!$E90</f>
        <v>6.9163122459550985</v>
      </c>
      <c r="AH16" s="8">
        <f>generation!$C15*distribution!$E90</f>
        <v>6.9163122459550985</v>
      </c>
      <c r="AI16" s="10">
        <f t="shared" si="0"/>
        <v>193.65674288674288</v>
      </c>
    </row>
    <row r="17" spans="1:35" x14ac:dyDescent="0.55000000000000004">
      <c r="A17" s="2">
        <v>17</v>
      </c>
      <c r="B17" s="2">
        <v>19</v>
      </c>
      <c r="F17" s="3">
        <v>16</v>
      </c>
      <c r="G17" s="8">
        <f>generation!$C16*distribution!$E91</f>
        <v>3.0891645895902675</v>
      </c>
      <c r="H17" s="8">
        <f>generation!$C16*distribution!$E91</f>
        <v>3.0891645895902675</v>
      </c>
      <c r="I17" s="8">
        <f>generation!$C16*distribution!$E91</f>
        <v>3.0891645895902675</v>
      </c>
      <c r="J17" s="8">
        <f>generation!$C16*distribution!$E91</f>
        <v>3.0891645895902675</v>
      </c>
      <c r="K17" s="8">
        <f>generation!$C16*distribution!$E91</f>
        <v>3.0891645895902675</v>
      </c>
      <c r="L17" s="8">
        <f>generation!$C16*distribution!$E91</f>
        <v>3.0891645895902675</v>
      </c>
      <c r="M17" s="8">
        <f>generation!$C16*distribution!$E91</f>
        <v>3.0891645895902675</v>
      </c>
      <c r="N17" s="8">
        <f>generation!$C16*distribution!$E91</f>
        <v>3.0891645895902675</v>
      </c>
      <c r="O17" s="8">
        <f>generation!$C16*distribution!$E91</f>
        <v>3.0891645895902675</v>
      </c>
      <c r="P17" s="8">
        <f>generation!$C16*distribution!$E91</f>
        <v>3.0891645895902675</v>
      </c>
      <c r="Q17" s="8">
        <f>generation!$C16*distribution!$E91</f>
        <v>3.0891645895902675</v>
      </c>
      <c r="R17" s="8">
        <f>generation!$C16*distribution!$E91</f>
        <v>3.0891645895902675</v>
      </c>
      <c r="S17" s="8">
        <f>generation!$C16*distribution!$E91</f>
        <v>3.0891645895902675</v>
      </c>
      <c r="T17" s="8">
        <f>generation!$C16*distribution!$E91</f>
        <v>3.0891645895902675</v>
      </c>
      <c r="U17" s="8">
        <f>generation!$C16*distribution!$E91</f>
        <v>3.0891645895902675</v>
      </c>
      <c r="V17" s="8">
        <f>generation!$C16*distribution!$E91</f>
        <v>3.0891645895902675</v>
      </c>
      <c r="W17" s="8">
        <f>generation!$C16*distribution!$E91</f>
        <v>3.0891645895902675</v>
      </c>
      <c r="X17" s="8">
        <f>generation!$C16*distribution!$E91</f>
        <v>3.0891645895902675</v>
      </c>
      <c r="Y17" s="8">
        <f>generation!$C16*distribution!$E91</f>
        <v>3.0891645895902675</v>
      </c>
      <c r="Z17" s="8">
        <f>generation!$C16*distribution!$E91</f>
        <v>3.0891645895902675</v>
      </c>
      <c r="AA17" s="8">
        <f>generation!$C16*distribution!$E91</f>
        <v>3.0891645895902675</v>
      </c>
      <c r="AB17" s="8">
        <f>generation!$C16*distribution!$E91</f>
        <v>3.0891645895902675</v>
      </c>
      <c r="AC17" s="8">
        <f>generation!$C16*distribution!$E91</f>
        <v>3.0891645895902675</v>
      </c>
      <c r="AD17" s="8">
        <f>generation!$C16*distribution!$E91</f>
        <v>3.0891645895902675</v>
      </c>
      <c r="AE17" s="8">
        <f>generation!$C16*distribution!$E91</f>
        <v>3.0891645895902675</v>
      </c>
      <c r="AF17" s="8">
        <f>generation!$C16*distribution!$E91</f>
        <v>3.0891645895902675</v>
      </c>
      <c r="AG17" s="8">
        <f>generation!$C16*distribution!$E91</f>
        <v>3.0891645895902675</v>
      </c>
      <c r="AH17" s="8">
        <f>generation!$C16*distribution!$E91</f>
        <v>3.0891645895902675</v>
      </c>
      <c r="AI17" s="10">
        <f t="shared" si="0"/>
        <v>86.496608508527501</v>
      </c>
    </row>
    <row r="18" spans="1:35" x14ac:dyDescent="0.55000000000000004">
      <c r="A18" s="2">
        <v>18</v>
      </c>
      <c r="B18" s="2">
        <v>1573</v>
      </c>
      <c r="F18" s="3">
        <v>17</v>
      </c>
      <c r="G18" s="8">
        <f>generation!$C17*distribution!$E92</f>
        <v>0.18738318168463744</v>
      </c>
      <c r="H18" s="8">
        <f>generation!$C17*distribution!$E92</f>
        <v>0.18738318168463744</v>
      </c>
      <c r="I18" s="8">
        <f>generation!$C17*distribution!$E92</f>
        <v>0.18738318168463744</v>
      </c>
      <c r="J18" s="8">
        <f>generation!$C17*distribution!$E92</f>
        <v>0.18738318168463744</v>
      </c>
      <c r="K18" s="8">
        <f>generation!$C17*distribution!$E92</f>
        <v>0.18738318168463744</v>
      </c>
      <c r="L18" s="8">
        <f>generation!$C17*distribution!$E92</f>
        <v>0.18738318168463744</v>
      </c>
      <c r="M18" s="8">
        <f>generation!$C17*distribution!$E92</f>
        <v>0.18738318168463744</v>
      </c>
      <c r="N18" s="8">
        <f>generation!$C17*distribution!$E92</f>
        <v>0.18738318168463744</v>
      </c>
      <c r="O18" s="8">
        <f>generation!$C17*distribution!$E92</f>
        <v>0.18738318168463744</v>
      </c>
      <c r="P18" s="8">
        <f>generation!$C17*distribution!$E92</f>
        <v>0.18738318168463744</v>
      </c>
      <c r="Q18" s="8">
        <f>generation!$C17*distribution!$E92</f>
        <v>0.18738318168463744</v>
      </c>
      <c r="R18" s="8">
        <f>generation!$C17*distribution!$E92</f>
        <v>0.18738318168463744</v>
      </c>
      <c r="S18" s="8">
        <f>generation!$C17*distribution!$E92</f>
        <v>0.18738318168463744</v>
      </c>
      <c r="T18" s="8">
        <f>generation!$C17*distribution!$E92</f>
        <v>0.18738318168463744</v>
      </c>
      <c r="U18" s="8">
        <f>generation!$C17*distribution!$E92</f>
        <v>0.18738318168463744</v>
      </c>
      <c r="V18" s="8">
        <f>generation!$C17*distribution!$E92</f>
        <v>0.18738318168463744</v>
      </c>
      <c r="W18" s="8">
        <f>generation!$C17*distribution!$E92</f>
        <v>0.18738318168463744</v>
      </c>
      <c r="X18" s="8">
        <f>generation!$C17*distribution!$E92</f>
        <v>0.18738318168463744</v>
      </c>
      <c r="Y18" s="8">
        <f>generation!$C17*distribution!$E92</f>
        <v>0.18738318168463744</v>
      </c>
      <c r="Z18" s="8">
        <f>generation!$C17*distribution!$E92</f>
        <v>0.18738318168463744</v>
      </c>
      <c r="AA18" s="8">
        <f>generation!$C17*distribution!$E92</f>
        <v>0.18738318168463744</v>
      </c>
      <c r="AB18" s="8">
        <f>generation!$C17*distribution!$E92</f>
        <v>0.18738318168463744</v>
      </c>
      <c r="AC18" s="8">
        <f>generation!$C17*distribution!$E92</f>
        <v>0.18738318168463744</v>
      </c>
      <c r="AD18" s="8">
        <f>generation!$C17*distribution!$E92</f>
        <v>0.18738318168463744</v>
      </c>
      <c r="AE18" s="8">
        <f>generation!$C17*distribution!$E92</f>
        <v>0.18738318168463744</v>
      </c>
      <c r="AF18" s="8">
        <f>generation!$C17*distribution!$E92</f>
        <v>0.18738318168463744</v>
      </c>
      <c r="AG18" s="8">
        <f>generation!$C17*distribution!$E92</f>
        <v>0.18738318168463744</v>
      </c>
      <c r="AH18" s="8">
        <f>generation!$C17*distribution!$E92</f>
        <v>0.18738318168463744</v>
      </c>
      <c r="AI18" s="10">
        <f t="shared" si="0"/>
        <v>5.2467290871698511</v>
      </c>
    </row>
    <row r="19" spans="1:35" x14ac:dyDescent="0.55000000000000004">
      <c r="A19" s="2">
        <v>19</v>
      </c>
      <c r="B19" s="2">
        <v>1258</v>
      </c>
      <c r="F19" s="3">
        <v>18</v>
      </c>
      <c r="G19" s="8">
        <f>generation!$C18*distribution!$E93</f>
        <v>15.474124973196069</v>
      </c>
      <c r="H19" s="8">
        <f>generation!$C18*distribution!$E93</f>
        <v>15.474124973196069</v>
      </c>
      <c r="I19" s="8">
        <f>generation!$C18*distribution!$E93</f>
        <v>15.474124973196069</v>
      </c>
      <c r="J19" s="8">
        <f>generation!$C18*distribution!$E93</f>
        <v>15.474124973196069</v>
      </c>
      <c r="K19" s="8">
        <f>generation!$C18*distribution!$E93</f>
        <v>15.474124973196069</v>
      </c>
      <c r="L19" s="8">
        <f>generation!$C18*distribution!$E93</f>
        <v>15.474124973196069</v>
      </c>
      <c r="M19" s="8">
        <f>generation!$C18*distribution!$E93</f>
        <v>15.474124973196069</v>
      </c>
      <c r="N19" s="8">
        <f>generation!$C18*distribution!$E93</f>
        <v>15.474124973196069</v>
      </c>
      <c r="O19" s="8">
        <f>generation!$C18*distribution!$E93</f>
        <v>15.474124973196069</v>
      </c>
      <c r="P19" s="8">
        <f>generation!$C18*distribution!$E93</f>
        <v>15.474124973196069</v>
      </c>
      <c r="Q19" s="8">
        <f>generation!$C18*distribution!$E93</f>
        <v>15.474124973196069</v>
      </c>
      <c r="R19" s="8">
        <f>generation!$C18*distribution!$E93</f>
        <v>15.474124973196069</v>
      </c>
      <c r="S19" s="8">
        <f>generation!$C18*distribution!$E93</f>
        <v>15.474124973196069</v>
      </c>
      <c r="T19" s="8">
        <f>generation!$C18*distribution!$E93</f>
        <v>15.474124973196069</v>
      </c>
      <c r="U19" s="8">
        <f>generation!$C18*distribution!$E93</f>
        <v>15.474124973196069</v>
      </c>
      <c r="V19" s="8">
        <f>generation!$C18*distribution!$E93</f>
        <v>15.474124973196069</v>
      </c>
      <c r="W19" s="8">
        <f>generation!$C18*distribution!$E93</f>
        <v>15.474124973196069</v>
      </c>
      <c r="X19" s="8">
        <f>generation!$C18*distribution!$E93</f>
        <v>15.474124973196069</v>
      </c>
      <c r="Y19" s="8">
        <f>generation!$C18*distribution!$E93</f>
        <v>15.474124973196069</v>
      </c>
      <c r="Z19" s="8">
        <f>generation!$C18*distribution!$E93</f>
        <v>15.474124973196069</v>
      </c>
      <c r="AA19" s="8">
        <f>generation!$C18*distribution!$E93</f>
        <v>15.474124973196069</v>
      </c>
      <c r="AB19" s="8">
        <f>generation!$C18*distribution!$E93</f>
        <v>15.474124973196069</v>
      </c>
      <c r="AC19" s="8">
        <f>generation!$C18*distribution!$E93</f>
        <v>15.474124973196069</v>
      </c>
      <c r="AD19" s="8">
        <f>generation!$C18*distribution!$E93</f>
        <v>15.474124973196069</v>
      </c>
      <c r="AE19" s="8">
        <f>generation!$C18*distribution!$E93</f>
        <v>15.474124973196069</v>
      </c>
      <c r="AF19" s="8">
        <f>generation!$C18*distribution!$E93</f>
        <v>15.474124973196069</v>
      </c>
      <c r="AG19" s="8">
        <f>generation!$C18*distribution!$E93</f>
        <v>15.474124973196069</v>
      </c>
      <c r="AH19" s="8">
        <f>generation!$C18*distribution!$E93</f>
        <v>15.474124973196069</v>
      </c>
      <c r="AI19" s="10">
        <f t="shared" si="0"/>
        <v>433.27549924948994</v>
      </c>
    </row>
    <row r="20" spans="1:35" x14ac:dyDescent="0.55000000000000004">
      <c r="A20" s="2">
        <v>20</v>
      </c>
      <c r="B20" s="2">
        <v>2597</v>
      </c>
      <c r="F20" s="3">
        <v>19</v>
      </c>
      <c r="G20" s="8">
        <f>generation!$C19*distribution!$E94</f>
        <v>12.127209866335965</v>
      </c>
      <c r="H20" s="8">
        <f>generation!$C19*distribution!$E94</f>
        <v>12.127209866335965</v>
      </c>
      <c r="I20" s="8">
        <f>generation!$C19*distribution!$E94</f>
        <v>12.127209866335965</v>
      </c>
      <c r="J20" s="8">
        <f>generation!$C19*distribution!$E94</f>
        <v>12.127209866335965</v>
      </c>
      <c r="K20" s="8">
        <f>generation!$C19*distribution!$E94</f>
        <v>12.127209866335965</v>
      </c>
      <c r="L20" s="8">
        <f>generation!$C19*distribution!$E94</f>
        <v>12.127209866335965</v>
      </c>
      <c r="M20" s="8">
        <f>generation!$C19*distribution!$E94</f>
        <v>12.127209866335965</v>
      </c>
      <c r="N20" s="8">
        <f>generation!$C19*distribution!$E94</f>
        <v>12.127209866335965</v>
      </c>
      <c r="O20" s="8">
        <f>generation!$C19*distribution!$E94</f>
        <v>12.127209866335965</v>
      </c>
      <c r="P20" s="8">
        <f>generation!$C19*distribution!$E94</f>
        <v>12.127209866335965</v>
      </c>
      <c r="Q20" s="8">
        <f>generation!$C19*distribution!$E94</f>
        <v>12.127209866335965</v>
      </c>
      <c r="R20" s="8">
        <f>generation!$C19*distribution!$E94</f>
        <v>12.127209866335965</v>
      </c>
      <c r="S20" s="8">
        <f>generation!$C19*distribution!$E94</f>
        <v>12.127209866335965</v>
      </c>
      <c r="T20" s="8">
        <f>generation!$C19*distribution!$E94</f>
        <v>12.127209866335965</v>
      </c>
      <c r="U20" s="8">
        <f>generation!$C19*distribution!$E94</f>
        <v>12.127209866335965</v>
      </c>
      <c r="V20" s="8">
        <f>generation!$C19*distribution!$E94</f>
        <v>12.127209866335965</v>
      </c>
      <c r="W20" s="8">
        <f>generation!$C19*distribution!$E94</f>
        <v>12.127209866335965</v>
      </c>
      <c r="X20" s="8">
        <f>generation!$C19*distribution!$E94</f>
        <v>12.127209866335965</v>
      </c>
      <c r="Y20" s="8">
        <f>generation!$C19*distribution!$E94</f>
        <v>12.127209866335965</v>
      </c>
      <c r="Z20" s="8">
        <f>generation!$C19*distribution!$E94</f>
        <v>12.127209866335965</v>
      </c>
      <c r="AA20" s="8">
        <f>generation!$C19*distribution!$E94</f>
        <v>12.127209866335965</v>
      </c>
      <c r="AB20" s="8">
        <f>generation!$C19*distribution!$E94</f>
        <v>12.127209866335965</v>
      </c>
      <c r="AC20" s="8">
        <f>generation!$C19*distribution!$E94</f>
        <v>12.127209866335965</v>
      </c>
      <c r="AD20" s="8">
        <f>generation!$C19*distribution!$E94</f>
        <v>12.127209866335965</v>
      </c>
      <c r="AE20" s="8">
        <f>generation!$C19*distribution!$E94</f>
        <v>12.127209866335965</v>
      </c>
      <c r="AF20" s="8">
        <f>generation!$C19*distribution!$E94</f>
        <v>12.127209866335965</v>
      </c>
      <c r="AG20" s="8">
        <f>generation!$C19*distribution!$E94</f>
        <v>12.127209866335965</v>
      </c>
      <c r="AH20" s="8">
        <f>generation!$C19*distribution!$E94</f>
        <v>12.127209866335965</v>
      </c>
      <c r="AI20" s="10">
        <f t="shared" si="0"/>
        <v>339.56187625740711</v>
      </c>
    </row>
    <row r="21" spans="1:35" x14ac:dyDescent="0.55000000000000004">
      <c r="A21" s="2">
        <v>21</v>
      </c>
      <c r="B21" s="2">
        <v>858</v>
      </c>
      <c r="F21" s="3">
        <v>20</v>
      </c>
      <c r="G21" s="8">
        <f>generation!$C20*distribution!$E95</f>
        <v>23.032112308433263</v>
      </c>
      <c r="H21" s="8">
        <f>generation!$C20*distribution!$E95</f>
        <v>23.032112308433263</v>
      </c>
      <c r="I21" s="8">
        <f>generation!$C20*distribution!$E95</f>
        <v>23.032112308433263</v>
      </c>
      <c r="J21" s="8">
        <f>generation!$C20*distribution!$E95</f>
        <v>23.032112308433263</v>
      </c>
      <c r="K21" s="8">
        <f>generation!$C20*distribution!$E95</f>
        <v>23.032112308433263</v>
      </c>
      <c r="L21" s="8">
        <f>generation!$C20*distribution!$E95</f>
        <v>23.032112308433263</v>
      </c>
      <c r="M21" s="8">
        <f>generation!$C20*distribution!$E95</f>
        <v>23.032112308433263</v>
      </c>
      <c r="N21" s="8">
        <f>generation!$C20*distribution!$E95</f>
        <v>23.032112308433263</v>
      </c>
      <c r="O21" s="8">
        <f>generation!$C20*distribution!$E95</f>
        <v>23.032112308433263</v>
      </c>
      <c r="P21" s="8">
        <f>generation!$C20*distribution!$E95</f>
        <v>23.032112308433263</v>
      </c>
      <c r="Q21" s="8">
        <f>generation!$C20*distribution!$E95</f>
        <v>23.032112308433263</v>
      </c>
      <c r="R21" s="8">
        <f>generation!$C20*distribution!$E95</f>
        <v>23.032112308433263</v>
      </c>
      <c r="S21" s="8">
        <f>generation!$C20*distribution!$E95</f>
        <v>23.032112308433263</v>
      </c>
      <c r="T21" s="8">
        <f>generation!$C20*distribution!$E95</f>
        <v>23.032112308433263</v>
      </c>
      <c r="U21" s="8">
        <f>generation!$C20*distribution!$E95</f>
        <v>23.032112308433263</v>
      </c>
      <c r="V21" s="8">
        <f>generation!$C20*distribution!$E95</f>
        <v>23.032112308433263</v>
      </c>
      <c r="W21" s="8">
        <f>generation!$C20*distribution!$E95</f>
        <v>23.032112308433263</v>
      </c>
      <c r="X21" s="8">
        <f>generation!$C20*distribution!$E95</f>
        <v>23.032112308433263</v>
      </c>
      <c r="Y21" s="8">
        <f>generation!$C20*distribution!$E95</f>
        <v>23.032112308433263</v>
      </c>
      <c r="Z21" s="8">
        <f>generation!$C20*distribution!$E95</f>
        <v>23.032112308433263</v>
      </c>
      <c r="AA21" s="8">
        <f>generation!$C20*distribution!$E95</f>
        <v>23.032112308433263</v>
      </c>
      <c r="AB21" s="8">
        <f>generation!$C20*distribution!$E95</f>
        <v>23.032112308433263</v>
      </c>
      <c r="AC21" s="8">
        <f>generation!$C20*distribution!$E95</f>
        <v>23.032112308433263</v>
      </c>
      <c r="AD21" s="8">
        <f>generation!$C20*distribution!$E95</f>
        <v>23.032112308433263</v>
      </c>
      <c r="AE21" s="8">
        <f>generation!$C20*distribution!$E95</f>
        <v>23.032112308433263</v>
      </c>
      <c r="AF21" s="8">
        <f>generation!$C20*distribution!$E95</f>
        <v>23.032112308433263</v>
      </c>
      <c r="AG21" s="8">
        <f>generation!$C20*distribution!$E95</f>
        <v>23.032112308433263</v>
      </c>
      <c r="AH21" s="8">
        <f>generation!$C20*distribution!$E95</f>
        <v>23.032112308433263</v>
      </c>
      <c r="AI21" s="10">
        <f t="shared" si="0"/>
        <v>644.89914463613161</v>
      </c>
    </row>
    <row r="22" spans="1:35" x14ac:dyDescent="0.55000000000000004">
      <c r="A22" s="2">
        <v>22</v>
      </c>
      <c r="B22" s="2">
        <v>898</v>
      </c>
      <c r="F22" s="3">
        <v>21</v>
      </c>
      <c r="G22" s="8">
        <f>generation!$C21*distribution!$E96</f>
        <v>7.3193146235822946</v>
      </c>
      <c r="H22" s="8">
        <f>generation!$C21*distribution!$E96</f>
        <v>7.3193146235822946</v>
      </c>
      <c r="I22" s="8">
        <f>generation!$C21*distribution!$E96</f>
        <v>7.3193146235822946</v>
      </c>
      <c r="J22" s="8">
        <f>generation!$C21*distribution!$E96</f>
        <v>7.3193146235822946</v>
      </c>
      <c r="K22" s="8">
        <f>generation!$C21*distribution!$E96</f>
        <v>7.3193146235822946</v>
      </c>
      <c r="L22" s="8">
        <f>generation!$C21*distribution!$E96</f>
        <v>7.3193146235822946</v>
      </c>
      <c r="M22" s="8">
        <f>generation!$C21*distribution!$E96</f>
        <v>7.3193146235822946</v>
      </c>
      <c r="N22" s="8">
        <f>generation!$C21*distribution!$E96</f>
        <v>7.3193146235822946</v>
      </c>
      <c r="O22" s="8">
        <f>generation!$C21*distribution!$E96</f>
        <v>7.3193146235822946</v>
      </c>
      <c r="P22" s="8">
        <f>generation!$C21*distribution!$E96</f>
        <v>7.3193146235822946</v>
      </c>
      <c r="Q22" s="8">
        <f>generation!$C21*distribution!$E96</f>
        <v>7.3193146235822946</v>
      </c>
      <c r="R22" s="8">
        <f>generation!$C21*distribution!$E96</f>
        <v>7.3193146235822946</v>
      </c>
      <c r="S22" s="8">
        <f>generation!$C21*distribution!$E96</f>
        <v>7.3193146235822946</v>
      </c>
      <c r="T22" s="8">
        <f>generation!$C21*distribution!$E96</f>
        <v>7.3193146235822946</v>
      </c>
      <c r="U22" s="8">
        <f>generation!$C21*distribution!$E96</f>
        <v>7.3193146235822946</v>
      </c>
      <c r="V22" s="8">
        <f>generation!$C21*distribution!$E96</f>
        <v>7.3193146235822946</v>
      </c>
      <c r="W22" s="8">
        <f>generation!$C21*distribution!$E96</f>
        <v>7.3193146235822946</v>
      </c>
      <c r="X22" s="8">
        <f>generation!$C21*distribution!$E96</f>
        <v>7.3193146235822946</v>
      </c>
      <c r="Y22" s="8">
        <f>generation!$C21*distribution!$E96</f>
        <v>7.3193146235822946</v>
      </c>
      <c r="Z22" s="8">
        <f>generation!$C21*distribution!$E96</f>
        <v>7.3193146235822946</v>
      </c>
      <c r="AA22" s="8">
        <f>generation!$C21*distribution!$E96</f>
        <v>7.3193146235822946</v>
      </c>
      <c r="AB22" s="8">
        <f>generation!$C21*distribution!$E96</f>
        <v>7.3193146235822946</v>
      </c>
      <c r="AC22" s="8">
        <f>generation!$C21*distribution!$E96</f>
        <v>7.3193146235822946</v>
      </c>
      <c r="AD22" s="8">
        <f>generation!$C21*distribution!$E96</f>
        <v>7.3193146235822946</v>
      </c>
      <c r="AE22" s="8">
        <f>generation!$C21*distribution!$E96</f>
        <v>7.3193146235822946</v>
      </c>
      <c r="AF22" s="8">
        <f>generation!$C21*distribution!$E96</f>
        <v>7.3193146235822946</v>
      </c>
      <c r="AG22" s="8">
        <f>generation!$C21*distribution!$E96</f>
        <v>7.3193146235822946</v>
      </c>
      <c r="AH22" s="8">
        <f>generation!$C21*distribution!$E96</f>
        <v>7.3193146235822946</v>
      </c>
      <c r="AI22" s="10">
        <f t="shared" si="0"/>
        <v>204.94080946030437</v>
      </c>
    </row>
    <row r="23" spans="1:35" x14ac:dyDescent="0.55000000000000004">
      <c r="A23" s="2">
        <v>23</v>
      </c>
      <c r="B23" s="2">
        <v>1746</v>
      </c>
      <c r="F23" s="3">
        <v>22</v>
      </c>
      <c r="G23" s="8">
        <f>generation!$C22*distribution!$E97</f>
        <v>7.2492606577892289</v>
      </c>
      <c r="H23" s="8">
        <f>generation!$C22*distribution!$E97</f>
        <v>7.2492606577892289</v>
      </c>
      <c r="I23" s="8">
        <f>generation!$C22*distribution!$E97</f>
        <v>7.2492606577892289</v>
      </c>
      <c r="J23" s="8">
        <f>generation!$C22*distribution!$E97</f>
        <v>7.2492606577892289</v>
      </c>
      <c r="K23" s="8">
        <f>generation!$C22*distribution!$E97</f>
        <v>7.2492606577892289</v>
      </c>
      <c r="L23" s="8">
        <f>generation!$C22*distribution!$E97</f>
        <v>7.2492606577892289</v>
      </c>
      <c r="M23" s="8">
        <f>generation!$C22*distribution!$E97</f>
        <v>7.2492606577892289</v>
      </c>
      <c r="N23" s="8">
        <f>generation!$C22*distribution!$E97</f>
        <v>7.2492606577892289</v>
      </c>
      <c r="O23" s="8">
        <f>generation!$C22*distribution!$E97</f>
        <v>7.2492606577892289</v>
      </c>
      <c r="P23" s="8">
        <f>generation!$C22*distribution!$E97</f>
        <v>7.2492606577892289</v>
      </c>
      <c r="Q23" s="8">
        <f>generation!$C22*distribution!$E97</f>
        <v>7.2492606577892289</v>
      </c>
      <c r="R23" s="8">
        <f>generation!$C22*distribution!$E97</f>
        <v>7.2492606577892289</v>
      </c>
      <c r="S23" s="8">
        <f>generation!$C22*distribution!$E97</f>
        <v>7.2492606577892289</v>
      </c>
      <c r="T23" s="8">
        <f>generation!$C22*distribution!$E97</f>
        <v>7.2492606577892289</v>
      </c>
      <c r="U23" s="8">
        <f>generation!$C22*distribution!$E97</f>
        <v>7.2492606577892289</v>
      </c>
      <c r="V23" s="8">
        <f>generation!$C22*distribution!$E97</f>
        <v>7.2492606577892289</v>
      </c>
      <c r="W23" s="8">
        <f>generation!$C22*distribution!$E97</f>
        <v>7.2492606577892289</v>
      </c>
      <c r="X23" s="8">
        <f>generation!$C22*distribution!$E97</f>
        <v>7.2492606577892289</v>
      </c>
      <c r="Y23" s="8">
        <f>generation!$C22*distribution!$E97</f>
        <v>7.2492606577892289</v>
      </c>
      <c r="Z23" s="8">
        <f>generation!$C22*distribution!$E97</f>
        <v>7.2492606577892289</v>
      </c>
      <c r="AA23" s="8">
        <f>generation!$C22*distribution!$E97</f>
        <v>7.2492606577892289</v>
      </c>
      <c r="AB23" s="8">
        <f>generation!$C22*distribution!$E97</f>
        <v>7.2492606577892289</v>
      </c>
      <c r="AC23" s="8">
        <f>generation!$C22*distribution!$E97</f>
        <v>7.2492606577892289</v>
      </c>
      <c r="AD23" s="8">
        <f>generation!$C22*distribution!$E97</f>
        <v>7.2492606577892289</v>
      </c>
      <c r="AE23" s="8">
        <f>generation!$C22*distribution!$E97</f>
        <v>7.2492606577892289</v>
      </c>
      <c r="AF23" s="8">
        <f>generation!$C22*distribution!$E97</f>
        <v>7.2492606577892289</v>
      </c>
      <c r="AG23" s="8">
        <f>generation!$C22*distribution!$E97</f>
        <v>7.2492606577892289</v>
      </c>
      <c r="AH23" s="8">
        <f>generation!$C22*distribution!$E97</f>
        <v>7.2492606577892289</v>
      </c>
      <c r="AI23" s="10">
        <f t="shared" si="0"/>
        <v>202.97929841809827</v>
      </c>
    </row>
    <row r="24" spans="1:35" x14ac:dyDescent="0.55000000000000004">
      <c r="A24" s="2">
        <v>24</v>
      </c>
      <c r="B24" s="2">
        <v>211</v>
      </c>
      <c r="F24" s="3">
        <v>23</v>
      </c>
      <c r="G24" s="8">
        <f>generation!$C23*distribution!$E98</f>
        <v>14.584768459763159</v>
      </c>
      <c r="H24" s="8">
        <f>generation!$C23*distribution!$E98</f>
        <v>14.584768459763159</v>
      </c>
      <c r="I24" s="8">
        <f>generation!$C23*distribution!$E98</f>
        <v>14.584768459763159</v>
      </c>
      <c r="J24" s="8">
        <f>generation!$C23*distribution!$E98</f>
        <v>14.584768459763159</v>
      </c>
      <c r="K24" s="8">
        <f>generation!$C23*distribution!$E98</f>
        <v>14.584768459763159</v>
      </c>
      <c r="L24" s="8">
        <f>generation!$C23*distribution!$E98</f>
        <v>14.584768459763159</v>
      </c>
      <c r="M24" s="8">
        <f>generation!$C23*distribution!$E98</f>
        <v>14.584768459763159</v>
      </c>
      <c r="N24" s="8">
        <f>generation!$C23*distribution!$E98</f>
        <v>14.584768459763159</v>
      </c>
      <c r="O24" s="8">
        <f>generation!$C23*distribution!$E98</f>
        <v>14.584768459763159</v>
      </c>
      <c r="P24" s="8">
        <f>generation!$C23*distribution!$E98</f>
        <v>14.584768459763159</v>
      </c>
      <c r="Q24" s="8">
        <f>generation!$C23*distribution!$E98</f>
        <v>14.584768459763159</v>
      </c>
      <c r="R24" s="8">
        <f>generation!$C23*distribution!$E98</f>
        <v>14.584768459763159</v>
      </c>
      <c r="S24" s="8">
        <f>generation!$C23*distribution!$E98</f>
        <v>14.584768459763159</v>
      </c>
      <c r="T24" s="8">
        <f>generation!$C23*distribution!$E98</f>
        <v>14.584768459763159</v>
      </c>
      <c r="U24" s="8">
        <f>generation!$C23*distribution!$E98</f>
        <v>14.584768459763159</v>
      </c>
      <c r="V24" s="8">
        <f>generation!$C23*distribution!$E98</f>
        <v>14.584768459763159</v>
      </c>
      <c r="W24" s="8">
        <f>generation!$C23*distribution!$E98</f>
        <v>14.584768459763159</v>
      </c>
      <c r="X24" s="8">
        <f>generation!$C23*distribution!$E98</f>
        <v>14.584768459763159</v>
      </c>
      <c r="Y24" s="8">
        <f>generation!$C23*distribution!$E98</f>
        <v>14.584768459763159</v>
      </c>
      <c r="Z24" s="8">
        <f>generation!$C23*distribution!$E98</f>
        <v>14.584768459763159</v>
      </c>
      <c r="AA24" s="8">
        <f>generation!$C23*distribution!$E98</f>
        <v>14.584768459763159</v>
      </c>
      <c r="AB24" s="8">
        <f>generation!$C23*distribution!$E98</f>
        <v>14.584768459763159</v>
      </c>
      <c r="AC24" s="8">
        <f>generation!$C23*distribution!$E98</f>
        <v>14.584768459763159</v>
      </c>
      <c r="AD24" s="8">
        <f>generation!$C23*distribution!$E98</f>
        <v>14.584768459763159</v>
      </c>
      <c r="AE24" s="8">
        <f>generation!$C23*distribution!$E98</f>
        <v>14.584768459763159</v>
      </c>
      <c r="AF24" s="8">
        <f>generation!$C23*distribution!$E98</f>
        <v>14.584768459763159</v>
      </c>
      <c r="AG24" s="8">
        <f>generation!$C23*distribution!$E98</f>
        <v>14.584768459763159</v>
      </c>
      <c r="AH24" s="8">
        <f>generation!$C23*distribution!$E98</f>
        <v>14.584768459763159</v>
      </c>
      <c r="AI24" s="10">
        <f t="shared" si="0"/>
        <v>408.37351687336837</v>
      </c>
    </row>
    <row r="25" spans="1:35" x14ac:dyDescent="0.55000000000000004">
      <c r="A25" s="2">
        <v>25</v>
      </c>
      <c r="B25" s="2">
        <v>1974</v>
      </c>
      <c r="F25" s="3">
        <v>24</v>
      </c>
      <c r="G25" s="8">
        <f>generation!$C24*distribution!$E99</f>
        <v>1.9937347280557312</v>
      </c>
      <c r="H25" s="8">
        <f>generation!$C24*distribution!$E99</f>
        <v>1.9937347280557312</v>
      </c>
      <c r="I25" s="8">
        <f>generation!$C24*distribution!$E99</f>
        <v>1.9937347280557312</v>
      </c>
      <c r="J25" s="8">
        <f>generation!$C24*distribution!$E99</f>
        <v>1.9937347280557312</v>
      </c>
      <c r="K25" s="8">
        <f>generation!$C24*distribution!$E99</f>
        <v>1.9937347280557312</v>
      </c>
      <c r="L25" s="8">
        <f>generation!$C24*distribution!$E99</f>
        <v>1.9937347280557312</v>
      </c>
      <c r="M25" s="8">
        <f>generation!$C24*distribution!$E99</f>
        <v>1.9937347280557312</v>
      </c>
      <c r="N25" s="8">
        <f>generation!$C24*distribution!$E99</f>
        <v>1.9937347280557312</v>
      </c>
      <c r="O25" s="8">
        <f>generation!$C24*distribution!$E99</f>
        <v>1.9937347280557312</v>
      </c>
      <c r="P25" s="8">
        <f>generation!$C24*distribution!$E99</f>
        <v>1.9937347280557312</v>
      </c>
      <c r="Q25" s="8">
        <f>generation!$C24*distribution!$E99</f>
        <v>1.9937347280557312</v>
      </c>
      <c r="R25" s="8">
        <f>generation!$C24*distribution!$E99</f>
        <v>1.9937347280557312</v>
      </c>
      <c r="S25" s="8">
        <f>generation!$C24*distribution!$E99</f>
        <v>1.9937347280557312</v>
      </c>
      <c r="T25" s="8">
        <f>generation!$C24*distribution!$E99</f>
        <v>1.9937347280557312</v>
      </c>
      <c r="U25" s="8">
        <f>generation!$C24*distribution!$E99</f>
        <v>1.9937347280557312</v>
      </c>
      <c r="V25" s="8">
        <f>generation!$C24*distribution!$E99</f>
        <v>1.9937347280557312</v>
      </c>
      <c r="W25" s="8">
        <f>generation!$C24*distribution!$E99</f>
        <v>1.9937347280557312</v>
      </c>
      <c r="X25" s="8">
        <f>generation!$C24*distribution!$E99</f>
        <v>1.9937347280557312</v>
      </c>
      <c r="Y25" s="8">
        <f>generation!$C24*distribution!$E99</f>
        <v>1.9937347280557312</v>
      </c>
      <c r="Z25" s="8">
        <f>generation!$C24*distribution!$E99</f>
        <v>1.9937347280557312</v>
      </c>
      <c r="AA25" s="8">
        <f>generation!$C24*distribution!$E99</f>
        <v>1.9937347280557312</v>
      </c>
      <c r="AB25" s="8">
        <f>generation!$C24*distribution!$E99</f>
        <v>1.9937347280557312</v>
      </c>
      <c r="AC25" s="8">
        <f>generation!$C24*distribution!$E99</f>
        <v>1.9937347280557312</v>
      </c>
      <c r="AD25" s="8">
        <f>generation!$C24*distribution!$E99</f>
        <v>1.9937347280557312</v>
      </c>
      <c r="AE25" s="8">
        <f>generation!$C24*distribution!$E99</f>
        <v>1.9937347280557312</v>
      </c>
      <c r="AF25" s="8">
        <f>generation!$C24*distribution!$E99</f>
        <v>1.9937347280557312</v>
      </c>
      <c r="AG25" s="8">
        <f>generation!$C24*distribution!$E99</f>
        <v>1.9937347280557312</v>
      </c>
      <c r="AH25" s="8">
        <f>generation!$C24*distribution!$E99</f>
        <v>1.9937347280557312</v>
      </c>
      <c r="AI25" s="10">
        <f t="shared" si="0"/>
        <v>55.82457238556043</v>
      </c>
    </row>
    <row r="26" spans="1:35" x14ac:dyDescent="0.55000000000000004">
      <c r="A26" s="2">
        <v>26</v>
      </c>
      <c r="B26" s="2">
        <v>192</v>
      </c>
      <c r="F26" s="3">
        <v>25</v>
      </c>
      <c r="G26" s="8">
        <f>generation!$C25*distribution!$E100</f>
        <v>18.261612166012746</v>
      </c>
      <c r="H26" s="8">
        <f>generation!$C25*distribution!$E100</f>
        <v>18.261612166012746</v>
      </c>
      <c r="I26" s="8">
        <f>generation!$C25*distribution!$E100</f>
        <v>18.261612166012746</v>
      </c>
      <c r="J26" s="8">
        <f>generation!$C25*distribution!$E100</f>
        <v>18.261612166012746</v>
      </c>
      <c r="K26" s="8">
        <f>generation!$C25*distribution!$E100</f>
        <v>18.261612166012746</v>
      </c>
      <c r="L26" s="8">
        <f>generation!$C25*distribution!$E100</f>
        <v>18.261612166012746</v>
      </c>
      <c r="M26" s="8">
        <f>generation!$C25*distribution!$E100</f>
        <v>18.261612166012746</v>
      </c>
      <c r="N26" s="8">
        <f>generation!$C25*distribution!$E100</f>
        <v>18.261612166012746</v>
      </c>
      <c r="O26" s="8">
        <f>generation!$C25*distribution!$E100</f>
        <v>18.261612166012746</v>
      </c>
      <c r="P26" s="8">
        <f>generation!$C25*distribution!$E100</f>
        <v>18.261612166012746</v>
      </c>
      <c r="Q26" s="8">
        <f>generation!$C25*distribution!$E100</f>
        <v>18.261612166012746</v>
      </c>
      <c r="R26" s="8">
        <f>generation!$C25*distribution!$E100</f>
        <v>18.261612166012746</v>
      </c>
      <c r="S26" s="8">
        <f>generation!$C25*distribution!$E100</f>
        <v>18.261612166012746</v>
      </c>
      <c r="T26" s="8">
        <f>generation!$C25*distribution!$E100</f>
        <v>18.261612166012746</v>
      </c>
      <c r="U26" s="8">
        <f>generation!$C25*distribution!$E100</f>
        <v>18.261612166012746</v>
      </c>
      <c r="V26" s="8">
        <f>generation!$C25*distribution!$E100</f>
        <v>18.261612166012746</v>
      </c>
      <c r="W26" s="8">
        <f>generation!$C25*distribution!$E100</f>
        <v>18.261612166012746</v>
      </c>
      <c r="X26" s="8">
        <f>generation!$C25*distribution!$E100</f>
        <v>18.261612166012746</v>
      </c>
      <c r="Y26" s="8">
        <f>generation!$C25*distribution!$E100</f>
        <v>18.261612166012746</v>
      </c>
      <c r="Z26" s="8">
        <f>generation!$C25*distribution!$E100</f>
        <v>18.261612166012746</v>
      </c>
      <c r="AA26" s="8">
        <f>generation!$C25*distribution!$E100</f>
        <v>18.261612166012746</v>
      </c>
      <c r="AB26" s="8">
        <f>generation!$C25*distribution!$E100</f>
        <v>18.261612166012746</v>
      </c>
      <c r="AC26" s="8">
        <f>generation!$C25*distribution!$E100</f>
        <v>18.261612166012746</v>
      </c>
      <c r="AD26" s="8">
        <f>generation!$C25*distribution!$E100</f>
        <v>18.261612166012746</v>
      </c>
      <c r="AE26" s="8">
        <f>generation!$C25*distribution!$E100</f>
        <v>18.261612166012746</v>
      </c>
      <c r="AF26" s="8">
        <f>generation!$C25*distribution!$E100</f>
        <v>18.261612166012746</v>
      </c>
      <c r="AG26" s="8">
        <f>generation!$C25*distribution!$E100</f>
        <v>18.261612166012746</v>
      </c>
      <c r="AH26" s="8">
        <f>generation!$C25*distribution!$E100</f>
        <v>18.261612166012746</v>
      </c>
      <c r="AI26" s="10">
        <f t="shared" si="0"/>
        <v>511.32514064835703</v>
      </c>
    </row>
    <row r="27" spans="1:35" x14ac:dyDescent="0.55000000000000004">
      <c r="A27" s="2">
        <v>27</v>
      </c>
      <c r="B27" s="2">
        <v>3477</v>
      </c>
      <c r="F27" s="3">
        <v>26</v>
      </c>
      <c r="G27" s="8">
        <f>generation!$C26*distribution!$E101</f>
        <v>1.719643398190279</v>
      </c>
      <c r="H27" s="8">
        <f>generation!$C26*distribution!$E101</f>
        <v>1.719643398190279</v>
      </c>
      <c r="I27" s="8">
        <f>generation!$C26*distribution!$E101</f>
        <v>1.719643398190279</v>
      </c>
      <c r="J27" s="8">
        <f>generation!$C26*distribution!$E101</f>
        <v>1.719643398190279</v>
      </c>
      <c r="K27" s="8">
        <f>generation!$C26*distribution!$E101</f>
        <v>1.719643398190279</v>
      </c>
      <c r="L27" s="8">
        <f>generation!$C26*distribution!$E101</f>
        <v>1.719643398190279</v>
      </c>
      <c r="M27" s="8">
        <f>generation!$C26*distribution!$E101</f>
        <v>1.719643398190279</v>
      </c>
      <c r="N27" s="8">
        <f>generation!$C26*distribution!$E101</f>
        <v>1.719643398190279</v>
      </c>
      <c r="O27" s="8">
        <f>generation!$C26*distribution!$E101</f>
        <v>1.719643398190279</v>
      </c>
      <c r="P27" s="8">
        <f>generation!$C26*distribution!$E101</f>
        <v>1.719643398190279</v>
      </c>
      <c r="Q27" s="8">
        <f>generation!$C26*distribution!$E101</f>
        <v>1.719643398190279</v>
      </c>
      <c r="R27" s="8">
        <f>generation!$C26*distribution!$E101</f>
        <v>1.719643398190279</v>
      </c>
      <c r="S27" s="8">
        <f>generation!$C26*distribution!$E101</f>
        <v>1.719643398190279</v>
      </c>
      <c r="T27" s="8">
        <f>generation!$C26*distribution!$E101</f>
        <v>1.719643398190279</v>
      </c>
      <c r="U27" s="8">
        <f>generation!$C26*distribution!$E101</f>
        <v>1.719643398190279</v>
      </c>
      <c r="V27" s="8">
        <f>generation!$C26*distribution!$E101</f>
        <v>1.719643398190279</v>
      </c>
      <c r="W27" s="8">
        <f>generation!$C26*distribution!$E101</f>
        <v>1.719643398190279</v>
      </c>
      <c r="X27" s="8">
        <f>generation!$C26*distribution!$E101</f>
        <v>1.719643398190279</v>
      </c>
      <c r="Y27" s="8">
        <f>generation!$C26*distribution!$E101</f>
        <v>1.719643398190279</v>
      </c>
      <c r="Z27" s="8">
        <f>generation!$C26*distribution!$E101</f>
        <v>1.719643398190279</v>
      </c>
      <c r="AA27" s="8">
        <f>generation!$C26*distribution!$E101</f>
        <v>1.719643398190279</v>
      </c>
      <c r="AB27" s="8">
        <f>generation!$C26*distribution!$E101</f>
        <v>1.719643398190279</v>
      </c>
      <c r="AC27" s="8">
        <f>generation!$C26*distribution!$E101</f>
        <v>1.719643398190279</v>
      </c>
      <c r="AD27" s="8">
        <f>generation!$C26*distribution!$E101</f>
        <v>1.719643398190279</v>
      </c>
      <c r="AE27" s="8">
        <f>generation!$C26*distribution!$E101</f>
        <v>1.719643398190279</v>
      </c>
      <c r="AF27" s="8">
        <f>generation!$C26*distribution!$E101</f>
        <v>1.719643398190279</v>
      </c>
      <c r="AG27" s="8">
        <f>generation!$C26*distribution!$E101</f>
        <v>1.719643398190279</v>
      </c>
      <c r="AH27" s="8">
        <f>generation!$C26*distribution!$E101</f>
        <v>1.719643398190279</v>
      </c>
      <c r="AI27" s="10">
        <f t="shared" si="0"/>
        <v>48.150015149327807</v>
      </c>
    </row>
    <row r="28" spans="1:35" x14ac:dyDescent="0.55000000000000004">
      <c r="A28" s="2">
        <v>28</v>
      </c>
      <c r="B28" s="2">
        <v>954</v>
      </c>
      <c r="F28" s="3">
        <v>27</v>
      </c>
      <c r="G28" s="8">
        <f>generation!$C27*distribution!$E102</f>
        <v>30.743841809301234</v>
      </c>
      <c r="H28" s="8">
        <f>generation!$C27*distribution!$E102</f>
        <v>30.743841809301234</v>
      </c>
      <c r="I28" s="8">
        <f>generation!$C27*distribution!$E102</f>
        <v>30.743841809301234</v>
      </c>
      <c r="J28" s="8">
        <f>generation!$C27*distribution!$E102</f>
        <v>30.743841809301234</v>
      </c>
      <c r="K28" s="8">
        <f>generation!$C27*distribution!$E102</f>
        <v>30.743841809301234</v>
      </c>
      <c r="L28" s="8">
        <f>generation!$C27*distribution!$E102</f>
        <v>30.743841809301234</v>
      </c>
      <c r="M28" s="8">
        <f>generation!$C27*distribution!$E102</f>
        <v>30.743841809301234</v>
      </c>
      <c r="N28" s="8">
        <f>generation!$C27*distribution!$E102</f>
        <v>30.743841809301234</v>
      </c>
      <c r="O28" s="8">
        <f>generation!$C27*distribution!$E102</f>
        <v>30.743841809301234</v>
      </c>
      <c r="P28" s="8">
        <f>generation!$C27*distribution!$E102</f>
        <v>30.743841809301234</v>
      </c>
      <c r="Q28" s="8">
        <f>generation!$C27*distribution!$E102</f>
        <v>30.743841809301234</v>
      </c>
      <c r="R28" s="8">
        <f>generation!$C27*distribution!$E102</f>
        <v>30.743841809301234</v>
      </c>
      <c r="S28" s="8">
        <f>generation!$C27*distribution!$E102</f>
        <v>30.743841809301234</v>
      </c>
      <c r="T28" s="8">
        <f>generation!$C27*distribution!$E102</f>
        <v>30.743841809301234</v>
      </c>
      <c r="U28" s="8">
        <f>generation!$C27*distribution!$E102</f>
        <v>30.743841809301234</v>
      </c>
      <c r="V28" s="8">
        <f>generation!$C27*distribution!$E102</f>
        <v>30.743841809301234</v>
      </c>
      <c r="W28" s="8">
        <f>generation!$C27*distribution!$E102</f>
        <v>30.743841809301234</v>
      </c>
      <c r="X28" s="8">
        <f>generation!$C27*distribution!$E102</f>
        <v>30.743841809301234</v>
      </c>
      <c r="Y28" s="8">
        <f>generation!$C27*distribution!$E102</f>
        <v>30.743841809301234</v>
      </c>
      <c r="Z28" s="8">
        <f>generation!$C27*distribution!$E102</f>
        <v>30.743841809301234</v>
      </c>
      <c r="AA28" s="8">
        <f>generation!$C27*distribution!$E102</f>
        <v>30.743841809301234</v>
      </c>
      <c r="AB28" s="8">
        <f>generation!$C27*distribution!$E102</f>
        <v>30.743841809301234</v>
      </c>
      <c r="AC28" s="8">
        <f>generation!$C27*distribution!$E102</f>
        <v>30.743841809301234</v>
      </c>
      <c r="AD28" s="8">
        <f>generation!$C27*distribution!$E102</f>
        <v>30.743841809301234</v>
      </c>
      <c r="AE28" s="8">
        <f>generation!$C27*distribution!$E102</f>
        <v>30.743841809301234</v>
      </c>
      <c r="AF28" s="8">
        <f>generation!$C27*distribution!$E102</f>
        <v>30.743841809301234</v>
      </c>
      <c r="AG28" s="8">
        <f>generation!$C27*distribution!$E102</f>
        <v>30.743841809301234</v>
      </c>
      <c r="AH28" s="8">
        <f>generation!$C27*distribution!$E102</f>
        <v>30.743841809301234</v>
      </c>
      <c r="AI28" s="10">
        <f t="shared" si="0"/>
        <v>860.82757066043428</v>
      </c>
    </row>
    <row r="29" spans="1:35" x14ac:dyDescent="0.55000000000000004">
      <c r="A29" s="2">
        <v>29</v>
      </c>
      <c r="B29" s="2">
        <v>833</v>
      </c>
      <c r="F29" s="3">
        <v>28</v>
      </c>
      <c r="G29" s="8">
        <f>generation!$C28*distribution!$E103</f>
        <v>10.846828079695818</v>
      </c>
      <c r="H29" s="8">
        <f>generation!$C28*distribution!$E103</f>
        <v>10.846828079695818</v>
      </c>
      <c r="I29" s="8">
        <f>generation!$C28*distribution!$E103</f>
        <v>10.846828079695818</v>
      </c>
      <c r="J29" s="8">
        <f>generation!$C28*distribution!$E103</f>
        <v>10.846828079695818</v>
      </c>
      <c r="K29" s="8">
        <f>generation!$C28*distribution!$E103</f>
        <v>10.846828079695818</v>
      </c>
      <c r="L29" s="8">
        <f>generation!$C28*distribution!$E103</f>
        <v>10.846828079695818</v>
      </c>
      <c r="M29" s="8">
        <f>generation!$C28*distribution!$E103</f>
        <v>10.846828079695818</v>
      </c>
      <c r="N29" s="8">
        <f>generation!$C28*distribution!$E103</f>
        <v>10.846828079695818</v>
      </c>
      <c r="O29" s="8">
        <f>generation!$C28*distribution!$E103</f>
        <v>10.846828079695818</v>
      </c>
      <c r="P29" s="8">
        <f>generation!$C28*distribution!$E103</f>
        <v>10.846828079695818</v>
      </c>
      <c r="Q29" s="8">
        <f>generation!$C28*distribution!$E103</f>
        <v>10.846828079695818</v>
      </c>
      <c r="R29" s="8">
        <f>generation!$C28*distribution!$E103</f>
        <v>10.846828079695818</v>
      </c>
      <c r="S29" s="8">
        <f>generation!$C28*distribution!$E103</f>
        <v>10.846828079695818</v>
      </c>
      <c r="T29" s="8">
        <f>generation!$C28*distribution!$E103</f>
        <v>10.846828079695818</v>
      </c>
      <c r="U29" s="8">
        <f>generation!$C28*distribution!$E103</f>
        <v>10.846828079695818</v>
      </c>
      <c r="V29" s="8">
        <f>generation!$C28*distribution!$E103</f>
        <v>10.846828079695818</v>
      </c>
      <c r="W29" s="8">
        <f>generation!$C28*distribution!$E103</f>
        <v>10.846828079695818</v>
      </c>
      <c r="X29" s="8">
        <f>generation!$C28*distribution!$E103</f>
        <v>10.846828079695818</v>
      </c>
      <c r="Y29" s="8">
        <f>generation!$C28*distribution!$E103</f>
        <v>10.846828079695818</v>
      </c>
      <c r="Z29" s="8">
        <f>generation!$C28*distribution!$E103</f>
        <v>10.846828079695818</v>
      </c>
      <c r="AA29" s="8">
        <f>generation!$C28*distribution!$E103</f>
        <v>10.846828079695818</v>
      </c>
      <c r="AB29" s="8">
        <f>generation!$C28*distribution!$E103</f>
        <v>10.846828079695818</v>
      </c>
      <c r="AC29" s="8">
        <f>generation!$C28*distribution!$E103</f>
        <v>10.846828079695818</v>
      </c>
      <c r="AD29" s="8">
        <f>generation!$C28*distribution!$E103</f>
        <v>10.846828079695818</v>
      </c>
      <c r="AE29" s="8">
        <f>generation!$C28*distribution!$E103</f>
        <v>10.846828079695818</v>
      </c>
      <c r="AF29" s="8">
        <f>generation!$C28*distribution!$E103</f>
        <v>10.846828079695818</v>
      </c>
      <c r="AG29" s="8">
        <f>generation!$C28*distribution!$E103</f>
        <v>10.846828079695818</v>
      </c>
      <c r="AH29" s="8">
        <f>generation!$C28*distribution!$E103</f>
        <v>10.846828079695818</v>
      </c>
      <c r="AI29" s="10">
        <f t="shared" si="0"/>
        <v>303.71118623148294</v>
      </c>
    </row>
    <row r="30" spans="1:35" x14ac:dyDescent="0.55000000000000004">
      <c r="A30" s="2"/>
      <c r="F30" s="3">
        <v>29</v>
      </c>
      <c r="G30" s="8">
        <f>generation!$C29*distribution!$E104</f>
        <v>10.332379431788727</v>
      </c>
      <c r="H30" s="8">
        <f>generation!$C29*distribution!$E104</f>
        <v>10.332379431788727</v>
      </c>
      <c r="I30" s="8">
        <f>generation!$C29*distribution!$E104</f>
        <v>10.332379431788727</v>
      </c>
      <c r="J30" s="8">
        <f>generation!$C29*distribution!$E104</f>
        <v>10.332379431788727</v>
      </c>
      <c r="K30" s="8">
        <f>generation!$C29*distribution!$E104</f>
        <v>10.332379431788727</v>
      </c>
      <c r="L30" s="8">
        <f>generation!$C29*distribution!$E104</f>
        <v>10.332379431788727</v>
      </c>
      <c r="M30" s="8">
        <f>generation!$C29*distribution!$E104</f>
        <v>10.332379431788727</v>
      </c>
      <c r="N30" s="8">
        <f>generation!$C29*distribution!$E104</f>
        <v>10.332379431788727</v>
      </c>
      <c r="O30" s="8">
        <f>generation!$C29*distribution!$E104</f>
        <v>10.332379431788727</v>
      </c>
      <c r="P30" s="8">
        <f>generation!$C29*distribution!$E104</f>
        <v>10.332379431788727</v>
      </c>
      <c r="Q30" s="8">
        <f>generation!$C29*distribution!$E104</f>
        <v>10.332379431788727</v>
      </c>
      <c r="R30" s="8">
        <f>generation!$C29*distribution!$E104</f>
        <v>10.332379431788727</v>
      </c>
      <c r="S30" s="8">
        <f>generation!$C29*distribution!$E104</f>
        <v>10.332379431788727</v>
      </c>
      <c r="T30" s="8">
        <f>generation!$C29*distribution!$E104</f>
        <v>10.332379431788727</v>
      </c>
      <c r="U30" s="8">
        <f>generation!$C29*distribution!$E104</f>
        <v>10.332379431788727</v>
      </c>
      <c r="V30" s="8">
        <f>generation!$C29*distribution!$E104</f>
        <v>10.332379431788727</v>
      </c>
      <c r="W30" s="8">
        <f>generation!$C29*distribution!$E104</f>
        <v>10.332379431788727</v>
      </c>
      <c r="X30" s="8">
        <f>generation!$C29*distribution!$E104</f>
        <v>10.332379431788727</v>
      </c>
      <c r="Y30" s="8">
        <f>generation!$C29*distribution!$E104</f>
        <v>10.332379431788727</v>
      </c>
      <c r="Z30" s="8">
        <f>generation!$C29*distribution!$E104</f>
        <v>10.332379431788727</v>
      </c>
      <c r="AA30" s="8">
        <f>generation!$C29*distribution!$E104</f>
        <v>10.332379431788727</v>
      </c>
      <c r="AB30" s="8">
        <f>generation!$C29*distribution!$E104</f>
        <v>10.332379431788727</v>
      </c>
      <c r="AC30" s="8">
        <f>generation!$C29*distribution!$E104</f>
        <v>10.332379431788727</v>
      </c>
      <c r="AD30" s="8">
        <f>generation!$C29*distribution!$E104</f>
        <v>10.332379431788727</v>
      </c>
      <c r="AE30" s="8">
        <f>generation!$C29*distribution!$E104</f>
        <v>10.332379431788727</v>
      </c>
      <c r="AF30" s="8">
        <f>generation!$C29*distribution!$E104</f>
        <v>10.332379431788727</v>
      </c>
      <c r="AG30" s="8">
        <f>generation!$C29*distribution!$E104</f>
        <v>10.332379431788727</v>
      </c>
      <c r="AH30" s="8">
        <f>generation!$C29*distribution!$E104</f>
        <v>10.332379431788727</v>
      </c>
      <c r="AI30" s="10">
        <f t="shared" si="0"/>
        <v>289.30662409008437</v>
      </c>
    </row>
    <row r="31" spans="1:35" x14ac:dyDescent="0.55000000000000004">
      <c r="A31" s="2"/>
      <c r="B31" s="2"/>
    </row>
    <row r="32" spans="1:35" x14ac:dyDescent="0.55000000000000004">
      <c r="A32" s="2"/>
      <c r="B32" s="2"/>
    </row>
    <row r="33" spans="1:35" x14ac:dyDescent="0.55000000000000004">
      <c r="A33" s="2"/>
      <c r="B33" s="2"/>
    </row>
    <row r="34" spans="1:35" x14ac:dyDescent="0.55000000000000004">
      <c r="A34" s="2"/>
      <c r="B34" s="2"/>
    </row>
    <row r="35" spans="1:35" x14ac:dyDescent="0.55000000000000004">
      <c r="A35" s="2"/>
      <c r="B35" s="2"/>
    </row>
    <row r="36" spans="1:35" x14ac:dyDescent="0.55000000000000004">
      <c r="A36" s="2"/>
      <c r="B36" s="2"/>
    </row>
    <row r="37" spans="1:35" x14ac:dyDescent="0.55000000000000004">
      <c r="A37" s="2"/>
      <c r="B37" s="2"/>
      <c r="G37" s="3">
        <v>1</v>
      </c>
      <c r="H37" s="3">
        <v>2</v>
      </c>
      <c r="I37" s="3">
        <v>3</v>
      </c>
      <c r="J37" s="3">
        <v>5</v>
      </c>
      <c r="K37" s="3">
        <v>6</v>
      </c>
      <c r="L37" s="3">
        <v>7</v>
      </c>
      <c r="M37" s="3">
        <v>8</v>
      </c>
      <c r="N37" s="3">
        <v>9</v>
      </c>
      <c r="O37" s="3">
        <v>10</v>
      </c>
      <c r="P37" s="3">
        <v>11</v>
      </c>
      <c r="Q37" s="3">
        <v>12</v>
      </c>
      <c r="R37" s="3">
        <v>13</v>
      </c>
      <c r="S37" s="3">
        <v>14</v>
      </c>
      <c r="T37" s="3">
        <v>15</v>
      </c>
      <c r="U37" s="3">
        <v>16</v>
      </c>
      <c r="V37" s="3">
        <v>17</v>
      </c>
      <c r="W37" s="3">
        <v>18</v>
      </c>
      <c r="X37" s="3">
        <v>19</v>
      </c>
      <c r="Y37" s="3">
        <v>20</v>
      </c>
      <c r="Z37" s="3">
        <v>21</v>
      </c>
      <c r="AA37" s="3">
        <v>22</v>
      </c>
      <c r="AB37" s="3">
        <v>23</v>
      </c>
      <c r="AC37" s="3">
        <v>24</v>
      </c>
      <c r="AD37" s="3">
        <v>25</v>
      </c>
      <c r="AE37" s="3">
        <v>26</v>
      </c>
      <c r="AF37" s="3">
        <v>27</v>
      </c>
      <c r="AG37" s="3">
        <v>28</v>
      </c>
      <c r="AH37" s="3">
        <v>29</v>
      </c>
    </row>
    <row r="38" spans="1:35" x14ac:dyDescent="0.55000000000000004">
      <c r="A38" s="2"/>
      <c r="B38" s="2"/>
      <c r="F38" s="3">
        <v>1</v>
      </c>
      <c r="G38" s="8">
        <f>ROUND(G3,0)</f>
        <v>19</v>
      </c>
      <c r="H38" s="8">
        <f t="shared" ref="H38:AH38" si="1">ROUND(H3,0)</f>
        <v>19</v>
      </c>
      <c r="I38" s="8">
        <f t="shared" si="1"/>
        <v>19</v>
      </c>
      <c r="J38" s="8">
        <f t="shared" si="1"/>
        <v>19</v>
      </c>
      <c r="K38" s="8">
        <f t="shared" si="1"/>
        <v>19</v>
      </c>
      <c r="L38" s="8">
        <f t="shared" si="1"/>
        <v>19</v>
      </c>
      <c r="M38" s="8">
        <f t="shared" si="1"/>
        <v>19</v>
      </c>
      <c r="N38" s="8">
        <f t="shared" si="1"/>
        <v>19</v>
      </c>
      <c r="O38" s="8">
        <f t="shared" si="1"/>
        <v>19</v>
      </c>
      <c r="P38" s="8">
        <f t="shared" si="1"/>
        <v>19</v>
      </c>
      <c r="Q38" s="8">
        <f t="shared" si="1"/>
        <v>19</v>
      </c>
      <c r="R38" s="8">
        <f t="shared" si="1"/>
        <v>19</v>
      </c>
      <c r="S38" s="8">
        <f t="shared" si="1"/>
        <v>19</v>
      </c>
      <c r="T38" s="8">
        <f t="shared" si="1"/>
        <v>19</v>
      </c>
      <c r="U38" s="8">
        <f t="shared" si="1"/>
        <v>19</v>
      </c>
      <c r="V38" s="8">
        <f t="shared" si="1"/>
        <v>19</v>
      </c>
      <c r="W38" s="8">
        <f t="shared" si="1"/>
        <v>19</v>
      </c>
      <c r="X38" s="8">
        <f t="shared" si="1"/>
        <v>19</v>
      </c>
      <c r="Y38" s="8">
        <f t="shared" si="1"/>
        <v>19</v>
      </c>
      <c r="Z38" s="8">
        <f t="shared" si="1"/>
        <v>19</v>
      </c>
      <c r="AA38" s="8">
        <f t="shared" si="1"/>
        <v>19</v>
      </c>
      <c r="AB38" s="8">
        <f t="shared" si="1"/>
        <v>19</v>
      </c>
      <c r="AC38" s="8">
        <f t="shared" si="1"/>
        <v>19</v>
      </c>
      <c r="AD38" s="8">
        <f t="shared" si="1"/>
        <v>19</v>
      </c>
      <c r="AE38" s="8">
        <f t="shared" si="1"/>
        <v>19</v>
      </c>
      <c r="AF38" s="8">
        <f t="shared" si="1"/>
        <v>19</v>
      </c>
      <c r="AG38" s="8">
        <f t="shared" si="1"/>
        <v>19</v>
      </c>
      <c r="AH38" s="8">
        <f t="shared" si="1"/>
        <v>19</v>
      </c>
      <c r="AI38" s="9">
        <f>SUM(G38:AH38)</f>
        <v>532</v>
      </c>
    </row>
    <row r="39" spans="1:35" x14ac:dyDescent="0.55000000000000004">
      <c r="A39" s="2"/>
      <c r="B39" s="2"/>
      <c r="F39" s="3">
        <v>2</v>
      </c>
      <c r="G39" s="8">
        <f t="shared" ref="G39:AH39" si="2">ROUND(G4,0)</f>
        <v>10</v>
      </c>
      <c r="H39" s="8">
        <f t="shared" si="2"/>
        <v>10</v>
      </c>
      <c r="I39" s="8">
        <f t="shared" si="2"/>
        <v>10</v>
      </c>
      <c r="J39" s="8">
        <f t="shared" si="2"/>
        <v>10</v>
      </c>
      <c r="K39" s="8">
        <f t="shared" si="2"/>
        <v>10</v>
      </c>
      <c r="L39" s="8">
        <f t="shared" si="2"/>
        <v>10</v>
      </c>
      <c r="M39" s="8">
        <f t="shared" si="2"/>
        <v>10</v>
      </c>
      <c r="N39" s="8">
        <f t="shared" si="2"/>
        <v>10</v>
      </c>
      <c r="O39" s="8">
        <f t="shared" si="2"/>
        <v>10</v>
      </c>
      <c r="P39" s="8">
        <f t="shared" si="2"/>
        <v>10</v>
      </c>
      <c r="Q39" s="8">
        <f t="shared" si="2"/>
        <v>10</v>
      </c>
      <c r="R39" s="8">
        <f t="shared" si="2"/>
        <v>10</v>
      </c>
      <c r="S39" s="8">
        <f t="shared" si="2"/>
        <v>10</v>
      </c>
      <c r="T39" s="8">
        <f t="shared" si="2"/>
        <v>10</v>
      </c>
      <c r="U39" s="8">
        <f t="shared" si="2"/>
        <v>10</v>
      </c>
      <c r="V39" s="8">
        <f t="shared" si="2"/>
        <v>10</v>
      </c>
      <c r="W39" s="8">
        <f t="shared" si="2"/>
        <v>10</v>
      </c>
      <c r="X39" s="8">
        <f t="shared" si="2"/>
        <v>10</v>
      </c>
      <c r="Y39" s="8">
        <f t="shared" si="2"/>
        <v>10</v>
      </c>
      <c r="Z39" s="8">
        <f t="shared" si="2"/>
        <v>10</v>
      </c>
      <c r="AA39" s="8">
        <f t="shared" si="2"/>
        <v>10</v>
      </c>
      <c r="AB39" s="8">
        <f t="shared" si="2"/>
        <v>10</v>
      </c>
      <c r="AC39" s="8">
        <f t="shared" si="2"/>
        <v>10</v>
      </c>
      <c r="AD39" s="8">
        <f t="shared" si="2"/>
        <v>10</v>
      </c>
      <c r="AE39" s="8">
        <f t="shared" si="2"/>
        <v>10</v>
      </c>
      <c r="AF39" s="8">
        <f t="shared" si="2"/>
        <v>10</v>
      </c>
      <c r="AG39" s="8">
        <f t="shared" si="2"/>
        <v>10</v>
      </c>
      <c r="AH39" s="8">
        <f t="shared" si="2"/>
        <v>10</v>
      </c>
      <c r="AI39" s="9">
        <f t="shared" ref="AI39:AI65" si="3">SUM(G39:AH39)</f>
        <v>280</v>
      </c>
    </row>
    <row r="40" spans="1:35" x14ac:dyDescent="0.55000000000000004">
      <c r="A40" s="2"/>
      <c r="B40" s="2"/>
      <c r="F40" s="3">
        <v>3</v>
      </c>
      <c r="G40" s="8">
        <f t="shared" ref="G40:AH40" si="4">ROUND(G5,0)</f>
        <v>9</v>
      </c>
      <c r="H40" s="8">
        <f t="shared" si="4"/>
        <v>9</v>
      </c>
      <c r="I40" s="8">
        <f t="shared" si="4"/>
        <v>9</v>
      </c>
      <c r="J40" s="8">
        <f t="shared" si="4"/>
        <v>9</v>
      </c>
      <c r="K40" s="8">
        <f t="shared" si="4"/>
        <v>9</v>
      </c>
      <c r="L40" s="8">
        <f t="shared" si="4"/>
        <v>9</v>
      </c>
      <c r="M40" s="8">
        <f t="shared" si="4"/>
        <v>9</v>
      </c>
      <c r="N40" s="8">
        <f t="shared" si="4"/>
        <v>9</v>
      </c>
      <c r="O40" s="8">
        <f t="shared" si="4"/>
        <v>9</v>
      </c>
      <c r="P40" s="8">
        <f t="shared" si="4"/>
        <v>9</v>
      </c>
      <c r="Q40" s="8">
        <f t="shared" si="4"/>
        <v>9</v>
      </c>
      <c r="R40" s="8">
        <f t="shared" si="4"/>
        <v>9</v>
      </c>
      <c r="S40" s="8">
        <f t="shared" si="4"/>
        <v>9</v>
      </c>
      <c r="T40" s="8">
        <f t="shared" si="4"/>
        <v>9</v>
      </c>
      <c r="U40" s="8">
        <f t="shared" si="4"/>
        <v>9</v>
      </c>
      <c r="V40" s="8">
        <f t="shared" si="4"/>
        <v>9</v>
      </c>
      <c r="W40" s="8">
        <f t="shared" si="4"/>
        <v>9</v>
      </c>
      <c r="X40" s="8">
        <f t="shared" si="4"/>
        <v>9</v>
      </c>
      <c r="Y40" s="8">
        <f t="shared" si="4"/>
        <v>9</v>
      </c>
      <c r="Z40" s="8">
        <f t="shared" si="4"/>
        <v>9</v>
      </c>
      <c r="AA40" s="8">
        <f t="shared" si="4"/>
        <v>9</v>
      </c>
      <c r="AB40" s="8">
        <f t="shared" si="4"/>
        <v>9</v>
      </c>
      <c r="AC40" s="8">
        <f t="shared" si="4"/>
        <v>9</v>
      </c>
      <c r="AD40" s="8">
        <f t="shared" si="4"/>
        <v>9</v>
      </c>
      <c r="AE40" s="8">
        <f t="shared" si="4"/>
        <v>9</v>
      </c>
      <c r="AF40" s="8">
        <f t="shared" si="4"/>
        <v>9</v>
      </c>
      <c r="AG40" s="8">
        <f t="shared" si="4"/>
        <v>9</v>
      </c>
      <c r="AH40" s="8">
        <f t="shared" si="4"/>
        <v>9</v>
      </c>
      <c r="AI40" s="9">
        <f t="shared" si="3"/>
        <v>252</v>
      </c>
    </row>
    <row r="41" spans="1:35" x14ac:dyDescent="0.55000000000000004">
      <c r="A41" s="2"/>
      <c r="B41" s="2"/>
      <c r="F41" s="3">
        <v>5</v>
      </c>
      <c r="G41" s="8">
        <f t="shared" ref="G41:AH41" si="5">ROUND(G6,0)</f>
        <v>4</v>
      </c>
      <c r="H41" s="8">
        <f t="shared" si="5"/>
        <v>4</v>
      </c>
      <c r="I41" s="8">
        <f t="shared" si="5"/>
        <v>4</v>
      </c>
      <c r="J41" s="8">
        <f t="shared" si="5"/>
        <v>4</v>
      </c>
      <c r="K41" s="8">
        <f t="shared" si="5"/>
        <v>4</v>
      </c>
      <c r="L41" s="8">
        <f t="shared" si="5"/>
        <v>4</v>
      </c>
      <c r="M41" s="8">
        <f t="shared" si="5"/>
        <v>4</v>
      </c>
      <c r="N41" s="8">
        <f t="shared" si="5"/>
        <v>4</v>
      </c>
      <c r="O41" s="8">
        <f t="shared" si="5"/>
        <v>4</v>
      </c>
      <c r="P41" s="8">
        <f t="shared" si="5"/>
        <v>4</v>
      </c>
      <c r="Q41" s="8">
        <f t="shared" si="5"/>
        <v>4</v>
      </c>
      <c r="R41" s="8">
        <f t="shared" si="5"/>
        <v>4</v>
      </c>
      <c r="S41" s="8">
        <f t="shared" si="5"/>
        <v>4</v>
      </c>
      <c r="T41" s="8">
        <f t="shared" si="5"/>
        <v>4</v>
      </c>
      <c r="U41" s="8">
        <f t="shared" si="5"/>
        <v>4</v>
      </c>
      <c r="V41" s="8">
        <f t="shared" si="5"/>
        <v>4</v>
      </c>
      <c r="W41" s="8">
        <f t="shared" si="5"/>
        <v>4</v>
      </c>
      <c r="X41" s="8">
        <f t="shared" si="5"/>
        <v>4</v>
      </c>
      <c r="Y41" s="8">
        <f t="shared" si="5"/>
        <v>4</v>
      </c>
      <c r="Z41" s="8">
        <f t="shared" si="5"/>
        <v>4</v>
      </c>
      <c r="AA41" s="8">
        <f t="shared" si="5"/>
        <v>4</v>
      </c>
      <c r="AB41" s="8">
        <f t="shared" si="5"/>
        <v>4</v>
      </c>
      <c r="AC41" s="8">
        <f t="shared" si="5"/>
        <v>4</v>
      </c>
      <c r="AD41" s="8">
        <f t="shared" si="5"/>
        <v>4</v>
      </c>
      <c r="AE41" s="8">
        <f t="shared" si="5"/>
        <v>4</v>
      </c>
      <c r="AF41" s="8">
        <f t="shared" si="5"/>
        <v>4</v>
      </c>
      <c r="AG41" s="8">
        <f t="shared" si="5"/>
        <v>4</v>
      </c>
      <c r="AH41" s="8">
        <f t="shared" si="5"/>
        <v>4</v>
      </c>
      <c r="AI41" s="9">
        <f t="shared" si="3"/>
        <v>112</v>
      </c>
    </row>
    <row r="42" spans="1:35" x14ac:dyDescent="0.55000000000000004">
      <c r="A42" s="2"/>
      <c r="B42" s="2"/>
      <c r="F42" s="3">
        <v>6</v>
      </c>
      <c r="G42" s="8">
        <f t="shared" ref="G42:AH42" si="6">ROUND(G7,0)</f>
        <v>17</v>
      </c>
      <c r="H42" s="8">
        <f t="shared" si="6"/>
        <v>17</v>
      </c>
      <c r="I42" s="8">
        <f t="shared" si="6"/>
        <v>17</v>
      </c>
      <c r="J42" s="8">
        <f t="shared" si="6"/>
        <v>17</v>
      </c>
      <c r="K42" s="8">
        <f t="shared" si="6"/>
        <v>17</v>
      </c>
      <c r="L42" s="8">
        <f t="shared" si="6"/>
        <v>17</v>
      </c>
      <c r="M42" s="8">
        <f t="shared" si="6"/>
        <v>17</v>
      </c>
      <c r="N42" s="8">
        <f t="shared" si="6"/>
        <v>17</v>
      </c>
      <c r="O42" s="8">
        <f t="shared" si="6"/>
        <v>17</v>
      </c>
      <c r="P42" s="8">
        <f t="shared" si="6"/>
        <v>17</v>
      </c>
      <c r="Q42" s="8">
        <f t="shared" si="6"/>
        <v>17</v>
      </c>
      <c r="R42" s="8">
        <f t="shared" si="6"/>
        <v>17</v>
      </c>
      <c r="S42" s="8">
        <f t="shared" si="6"/>
        <v>17</v>
      </c>
      <c r="T42" s="8">
        <f t="shared" si="6"/>
        <v>17</v>
      </c>
      <c r="U42" s="8">
        <f t="shared" si="6"/>
        <v>17</v>
      </c>
      <c r="V42" s="8">
        <f t="shared" si="6"/>
        <v>17</v>
      </c>
      <c r="W42" s="8">
        <f t="shared" si="6"/>
        <v>17</v>
      </c>
      <c r="X42" s="8">
        <f t="shared" si="6"/>
        <v>17</v>
      </c>
      <c r="Y42" s="8">
        <f t="shared" si="6"/>
        <v>17</v>
      </c>
      <c r="Z42" s="8">
        <f t="shared" si="6"/>
        <v>17</v>
      </c>
      <c r="AA42" s="8">
        <f t="shared" si="6"/>
        <v>17</v>
      </c>
      <c r="AB42" s="8">
        <f t="shared" si="6"/>
        <v>17</v>
      </c>
      <c r="AC42" s="8">
        <f t="shared" si="6"/>
        <v>17</v>
      </c>
      <c r="AD42" s="8">
        <f t="shared" si="6"/>
        <v>17</v>
      </c>
      <c r="AE42" s="8">
        <f t="shared" si="6"/>
        <v>17</v>
      </c>
      <c r="AF42" s="8">
        <f t="shared" si="6"/>
        <v>17</v>
      </c>
      <c r="AG42" s="8">
        <f t="shared" si="6"/>
        <v>17</v>
      </c>
      <c r="AH42" s="8">
        <f t="shared" si="6"/>
        <v>17</v>
      </c>
      <c r="AI42" s="9">
        <f t="shared" si="3"/>
        <v>476</v>
      </c>
    </row>
    <row r="43" spans="1:35" x14ac:dyDescent="0.55000000000000004">
      <c r="A43" s="2"/>
      <c r="B43" s="2"/>
      <c r="F43" s="3">
        <v>7</v>
      </c>
      <c r="G43" s="8">
        <f t="shared" ref="G43:AH43" si="7">ROUND(G8,0)</f>
        <v>14</v>
      </c>
      <c r="H43" s="8">
        <f t="shared" si="7"/>
        <v>14</v>
      </c>
      <c r="I43" s="8">
        <f t="shared" si="7"/>
        <v>14</v>
      </c>
      <c r="J43" s="8">
        <f t="shared" si="7"/>
        <v>14</v>
      </c>
      <c r="K43" s="8">
        <f t="shared" si="7"/>
        <v>14</v>
      </c>
      <c r="L43" s="8">
        <f t="shared" si="7"/>
        <v>14</v>
      </c>
      <c r="M43" s="8">
        <f t="shared" si="7"/>
        <v>14</v>
      </c>
      <c r="N43" s="8">
        <f t="shared" si="7"/>
        <v>14</v>
      </c>
      <c r="O43" s="8">
        <f t="shared" si="7"/>
        <v>14</v>
      </c>
      <c r="P43" s="8">
        <f t="shared" si="7"/>
        <v>14</v>
      </c>
      <c r="Q43" s="8">
        <f t="shared" si="7"/>
        <v>14</v>
      </c>
      <c r="R43" s="8">
        <f t="shared" si="7"/>
        <v>14</v>
      </c>
      <c r="S43" s="8">
        <f t="shared" si="7"/>
        <v>14</v>
      </c>
      <c r="T43" s="8">
        <f t="shared" si="7"/>
        <v>14</v>
      </c>
      <c r="U43" s="8">
        <f t="shared" si="7"/>
        <v>14</v>
      </c>
      <c r="V43" s="8">
        <f t="shared" si="7"/>
        <v>14</v>
      </c>
      <c r="W43" s="8">
        <f t="shared" si="7"/>
        <v>14</v>
      </c>
      <c r="X43" s="8">
        <f t="shared" si="7"/>
        <v>14</v>
      </c>
      <c r="Y43" s="8">
        <f t="shared" si="7"/>
        <v>14</v>
      </c>
      <c r="Z43" s="8">
        <f t="shared" si="7"/>
        <v>14</v>
      </c>
      <c r="AA43" s="8">
        <f t="shared" si="7"/>
        <v>14</v>
      </c>
      <c r="AB43" s="8">
        <f t="shared" si="7"/>
        <v>14</v>
      </c>
      <c r="AC43" s="8">
        <f t="shared" si="7"/>
        <v>14</v>
      </c>
      <c r="AD43" s="8">
        <f t="shared" si="7"/>
        <v>14</v>
      </c>
      <c r="AE43" s="8">
        <f t="shared" si="7"/>
        <v>14</v>
      </c>
      <c r="AF43" s="8">
        <f t="shared" si="7"/>
        <v>14</v>
      </c>
      <c r="AG43" s="8">
        <f t="shared" si="7"/>
        <v>14</v>
      </c>
      <c r="AH43" s="8">
        <f t="shared" si="7"/>
        <v>14</v>
      </c>
      <c r="AI43" s="9">
        <f t="shared" si="3"/>
        <v>392</v>
      </c>
    </row>
    <row r="44" spans="1:35" x14ac:dyDescent="0.55000000000000004">
      <c r="A44" s="2"/>
      <c r="B44" s="2"/>
      <c r="F44" s="3">
        <v>8</v>
      </c>
      <c r="G44" s="8">
        <f t="shared" ref="G44:AH44" si="8">ROUND(G9,0)</f>
        <v>20</v>
      </c>
      <c r="H44" s="8">
        <f t="shared" si="8"/>
        <v>20</v>
      </c>
      <c r="I44" s="8">
        <f t="shared" si="8"/>
        <v>20</v>
      </c>
      <c r="J44" s="8">
        <f t="shared" si="8"/>
        <v>20</v>
      </c>
      <c r="K44" s="8">
        <f t="shared" si="8"/>
        <v>20</v>
      </c>
      <c r="L44" s="8">
        <f t="shared" si="8"/>
        <v>20</v>
      </c>
      <c r="M44" s="8">
        <f t="shared" si="8"/>
        <v>20</v>
      </c>
      <c r="N44" s="8">
        <f t="shared" si="8"/>
        <v>20</v>
      </c>
      <c r="O44" s="8">
        <f t="shared" si="8"/>
        <v>20</v>
      </c>
      <c r="P44" s="8">
        <f t="shared" si="8"/>
        <v>20</v>
      </c>
      <c r="Q44" s="8">
        <f t="shared" si="8"/>
        <v>20</v>
      </c>
      <c r="R44" s="8">
        <f t="shared" si="8"/>
        <v>20</v>
      </c>
      <c r="S44" s="8">
        <f t="shared" si="8"/>
        <v>20</v>
      </c>
      <c r="T44" s="8">
        <f t="shared" si="8"/>
        <v>20</v>
      </c>
      <c r="U44" s="8">
        <f t="shared" si="8"/>
        <v>20</v>
      </c>
      <c r="V44" s="8">
        <f t="shared" si="8"/>
        <v>20</v>
      </c>
      <c r="W44" s="8">
        <f t="shared" si="8"/>
        <v>20</v>
      </c>
      <c r="X44" s="8">
        <f t="shared" si="8"/>
        <v>20</v>
      </c>
      <c r="Y44" s="8">
        <f t="shared" si="8"/>
        <v>20</v>
      </c>
      <c r="Z44" s="8">
        <f t="shared" si="8"/>
        <v>20</v>
      </c>
      <c r="AA44" s="8">
        <f t="shared" si="8"/>
        <v>20</v>
      </c>
      <c r="AB44" s="8">
        <f t="shared" si="8"/>
        <v>20</v>
      </c>
      <c r="AC44" s="8">
        <f t="shared" si="8"/>
        <v>20</v>
      </c>
      <c r="AD44" s="8">
        <f t="shared" si="8"/>
        <v>20</v>
      </c>
      <c r="AE44" s="8">
        <f t="shared" si="8"/>
        <v>20</v>
      </c>
      <c r="AF44" s="8">
        <f t="shared" si="8"/>
        <v>20</v>
      </c>
      <c r="AG44" s="8">
        <f t="shared" si="8"/>
        <v>20</v>
      </c>
      <c r="AH44" s="8">
        <f t="shared" si="8"/>
        <v>20</v>
      </c>
      <c r="AI44" s="9">
        <f t="shared" si="3"/>
        <v>560</v>
      </c>
    </row>
    <row r="45" spans="1:35" x14ac:dyDescent="0.55000000000000004">
      <c r="A45" s="2"/>
      <c r="B45" s="2"/>
      <c r="F45" s="3">
        <v>9</v>
      </c>
      <c r="G45" s="8">
        <f t="shared" ref="G45:AH45" si="9">ROUND(G10,0)</f>
        <v>5</v>
      </c>
      <c r="H45" s="8">
        <f t="shared" si="9"/>
        <v>5</v>
      </c>
      <c r="I45" s="8">
        <f t="shared" si="9"/>
        <v>5</v>
      </c>
      <c r="J45" s="8">
        <f t="shared" si="9"/>
        <v>5</v>
      </c>
      <c r="K45" s="8">
        <f t="shared" si="9"/>
        <v>5</v>
      </c>
      <c r="L45" s="8">
        <f t="shared" si="9"/>
        <v>5</v>
      </c>
      <c r="M45" s="8">
        <f t="shared" si="9"/>
        <v>5</v>
      </c>
      <c r="N45" s="8">
        <f t="shared" si="9"/>
        <v>5</v>
      </c>
      <c r="O45" s="8">
        <f t="shared" si="9"/>
        <v>5</v>
      </c>
      <c r="P45" s="8">
        <f t="shared" si="9"/>
        <v>5</v>
      </c>
      <c r="Q45" s="8">
        <f t="shared" si="9"/>
        <v>5</v>
      </c>
      <c r="R45" s="8">
        <f t="shared" si="9"/>
        <v>5</v>
      </c>
      <c r="S45" s="8">
        <f t="shared" si="9"/>
        <v>5</v>
      </c>
      <c r="T45" s="8">
        <f t="shared" si="9"/>
        <v>5</v>
      </c>
      <c r="U45" s="8">
        <f t="shared" si="9"/>
        <v>5</v>
      </c>
      <c r="V45" s="8">
        <f t="shared" si="9"/>
        <v>5</v>
      </c>
      <c r="W45" s="8">
        <f t="shared" si="9"/>
        <v>5</v>
      </c>
      <c r="X45" s="8">
        <f t="shared" si="9"/>
        <v>5</v>
      </c>
      <c r="Y45" s="8">
        <f t="shared" si="9"/>
        <v>5</v>
      </c>
      <c r="Z45" s="8">
        <f t="shared" si="9"/>
        <v>5</v>
      </c>
      <c r="AA45" s="8">
        <f t="shared" si="9"/>
        <v>5</v>
      </c>
      <c r="AB45" s="8">
        <f t="shared" si="9"/>
        <v>5</v>
      </c>
      <c r="AC45" s="8">
        <f t="shared" si="9"/>
        <v>5</v>
      </c>
      <c r="AD45" s="8">
        <f t="shared" si="9"/>
        <v>5</v>
      </c>
      <c r="AE45" s="8">
        <f t="shared" si="9"/>
        <v>5</v>
      </c>
      <c r="AF45" s="8">
        <f t="shared" si="9"/>
        <v>5</v>
      </c>
      <c r="AG45" s="8">
        <f t="shared" si="9"/>
        <v>5</v>
      </c>
      <c r="AH45" s="8">
        <f t="shared" si="9"/>
        <v>5</v>
      </c>
      <c r="AI45" s="9">
        <f t="shared" si="3"/>
        <v>140</v>
      </c>
    </row>
    <row r="46" spans="1:35" x14ac:dyDescent="0.55000000000000004">
      <c r="F46" s="3">
        <v>10</v>
      </c>
      <c r="G46" s="8">
        <f t="shared" ref="G46:AH46" si="10">ROUND(G11,0)</f>
        <v>11</v>
      </c>
      <c r="H46" s="8">
        <f t="shared" si="10"/>
        <v>11</v>
      </c>
      <c r="I46" s="8">
        <f t="shared" si="10"/>
        <v>11</v>
      </c>
      <c r="J46" s="8">
        <f t="shared" si="10"/>
        <v>11</v>
      </c>
      <c r="K46" s="8">
        <f t="shared" si="10"/>
        <v>11</v>
      </c>
      <c r="L46" s="8">
        <f t="shared" si="10"/>
        <v>11</v>
      </c>
      <c r="M46" s="8">
        <f t="shared" si="10"/>
        <v>11</v>
      </c>
      <c r="N46" s="8">
        <f t="shared" si="10"/>
        <v>11</v>
      </c>
      <c r="O46" s="8">
        <f t="shared" si="10"/>
        <v>11</v>
      </c>
      <c r="P46" s="8">
        <f t="shared" si="10"/>
        <v>11</v>
      </c>
      <c r="Q46" s="8">
        <f t="shared" si="10"/>
        <v>11</v>
      </c>
      <c r="R46" s="8">
        <f t="shared" si="10"/>
        <v>11</v>
      </c>
      <c r="S46" s="8">
        <f t="shared" si="10"/>
        <v>11</v>
      </c>
      <c r="T46" s="8">
        <f t="shared" si="10"/>
        <v>11</v>
      </c>
      <c r="U46" s="8">
        <f t="shared" si="10"/>
        <v>11</v>
      </c>
      <c r="V46" s="8">
        <f t="shared" si="10"/>
        <v>11</v>
      </c>
      <c r="W46" s="8">
        <f t="shared" si="10"/>
        <v>11</v>
      </c>
      <c r="X46" s="8">
        <f t="shared" si="10"/>
        <v>11</v>
      </c>
      <c r="Y46" s="8">
        <f t="shared" si="10"/>
        <v>11</v>
      </c>
      <c r="Z46" s="8">
        <f t="shared" si="10"/>
        <v>11</v>
      </c>
      <c r="AA46" s="8">
        <f t="shared" si="10"/>
        <v>11</v>
      </c>
      <c r="AB46" s="8">
        <f t="shared" si="10"/>
        <v>11</v>
      </c>
      <c r="AC46" s="8">
        <f t="shared" si="10"/>
        <v>11</v>
      </c>
      <c r="AD46" s="8">
        <f t="shared" si="10"/>
        <v>11</v>
      </c>
      <c r="AE46" s="8">
        <f t="shared" si="10"/>
        <v>11</v>
      </c>
      <c r="AF46" s="8">
        <f t="shared" si="10"/>
        <v>11</v>
      </c>
      <c r="AG46" s="8">
        <f t="shared" si="10"/>
        <v>11</v>
      </c>
      <c r="AH46" s="8">
        <f t="shared" si="10"/>
        <v>11</v>
      </c>
      <c r="AI46" s="9">
        <f t="shared" si="3"/>
        <v>308</v>
      </c>
    </row>
    <row r="47" spans="1:35" x14ac:dyDescent="0.55000000000000004">
      <c r="F47" s="3">
        <v>11</v>
      </c>
      <c r="G47" s="8">
        <f t="shared" ref="G47:AH47" si="11">ROUND(G12,0)</f>
        <v>1</v>
      </c>
      <c r="H47" s="8">
        <f t="shared" si="11"/>
        <v>1</v>
      </c>
      <c r="I47" s="8">
        <f t="shared" si="11"/>
        <v>1</v>
      </c>
      <c r="J47" s="8">
        <f t="shared" si="11"/>
        <v>1</v>
      </c>
      <c r="K47" s="8">
        <f t="shared" si="11"/>
        <v>1</v>
      </c>
      <c r="L47" s="8">
        <f t="shared" si="11"/>
        <v>1</v>
      </c>
      <c r="M47" s="8">
        <f t="shared" si="11"/>
        <v>1</v>
      </c>
      <c r="N47" s="8">
        <f t="shared" si="11"/>
        <v>1</v>
      </c>
      <c r="O47" s="8">
        <f t="shared" si="11"/>
        <v>1</v>
      </c>
      <c r="P47" s="8">
        <f t="shared" si="11"/>
        <v>1</v>
      </c>
      <c r="Q47" s="8">
        <f t="shared" si="11"/>
        <v>1</v>
      </c>
      <c r="R47" s="8">
        <f t="shared" si="11"/>
        <v>1</v>
      </c>
      <c r="S47" s="8">
        <f t="shared" si="11"/>
        <v>1</v>
      </c>
      <c r="T47" s="8">
        <f t="shared" si="11"/>
        <v>1</v>
      </c>
      <c r="U47" s="8">
        <f t="shared" si="11"/>
        <v>1</v>
      </c>
      <c r="V47" s="8">
        <f t="shared" si="11"/>
        <v>1</v>
      </c>
      <c r="W47" s="8">
        <f t="shared" si="11"/>
        <v>1</v>
      </c>
      <c r="X47" s="8">
        <f t="shared" si="11"/>
        <v>1</v>
      </c>
      <c r="Y47" s="8">
        <f t="shared" si="11"/>
        <v>1</v>
      </c>
      <c r="Z47" s="8">
        <f t="shared" si="11"/>
        <v>1</v>
      </c>
      <c r="AA47" s="8">
        <f t="shared" si="11"/>
        <v>1</v>
      </c>
      <c r="AB47" s="8">
        <f t="shared" si="11"/>
        <v>1</v>
      </c>
      <c r="AC47" s="8">
        <f t="shared" si="11"/>
        <v>1</v>
      </c>
      <c r="AD47" s="8">
        <f t="shared" si="11"/>
        <v>1</v>
      </c>
      <c r="AE47" s="8">
        <f t="shared" si="11"/>
        <v>1</v>
      </c>
      <c r="AF47" s="8">
        <f t="shared" si="11"/>
        <v>1</v>
      </c>
      <c r="AG47" s="8">
        <f t="shared" si="11"/>
        <v>1</v>
      </c>
      <c r="AH47" s="8">
        <f t="shared" si="11"/>
        <v>1</v>
      </c>
      <c r="AI47" s="9">
        <f t="shared" si="3"/>
        <v>28</v>
      </c>
    </row>
    <row r="48" spans="1:35" x14ac:dyDescent="0.55000000000000004">
      <c r="F48" s="3">
        <v>12</v>
      </c>
      <c r="G48" s="8">
        <f t="shared" ref="G48:AH48" si="12">ROUND(G13,0)</f>
        <v>5</v>
      </c>
      <c r="H48" s="8">
        <f t="shared" si="12"/>
        <v>5</v>
      </c>
      <c r="I48" s="8">
        <f t="shared" si="12"/>
        <v>5</v>
      </c>
      <c r="J48" s="8">
        <f t="shared" si="12"/>
        <v>5</v>
      </c>
      <c r="K48" s="8">
        <f t="shared" si="12"/>
        <v>5</v>
      </c>
      <c r="L48" s="8">
        <f t="shared" si="12"/>
        <v>5</v>
      </c>
      <c r="M48" s="8">
        <f t="shared" si="12"/>
        <v>5</v>
      </c>
      <c r="N48" s="8">
        <f t="shared" si="12"/>
        <v>5</v>
      </c>
      <c r="O48" s="8">
        <f t="shared" si="12"/>
        <v>5</v>
      </c>
      <c r="P48" s="8">
        <f t="shared" si="12"/>
        <v>5</v>
      </c>
      <c r="Q48" s="8">
        <f t="shared" si="12"/>
        <v>5</v>
      </c>
      <c r="R48" s="8">
        <f t="shared" si="12"/>
        <v>5</v>
      </c>
      <c r="S48" s="8">
        <f t="shared" si="12"/>
        <v>5</v>
      </c>
      <c r="T48" s="8">
        <f t="shared" si="12"/>
        <v>5</v>
      </c>
      <c r="U48" s="8">
        <f t="shared" si="12"/>
        <v>5</v>
      </c>
      <c r="V48" s="8">
        <f t="shared" si="12"/>
        <v>5</v>
      </c>
      <c r="W48" s="8">
        <f t="shared" si="12"/>
        <v>5</v>
      </c>
      <c r="X48" s="8">
        <f t="shared" si="12"/>
        <v>5</v>
      </c>
      <c r="Y48" s="8">
        <f t="shared" si="12"/>
        <v>5</v>
      </c>
      <c r="Z48" s="8">
        <f t="shared" si="12"/>
        <v>5</v>
      </c>
      <c r="AA48" s="8">
        <f t="shared" si="12"/>
        <v>5</v>
      </c>
      <c r="AB48" s="8">
        <f t="shared" si="12"/>
        <v>5</v>
      </c>
      <c r="AC48" s="8">
        <f t="shared" si="12"/>
        <v>5</v>
      </c>
      <c r="AD48" s="8">
        <f t="shared" si="12"/>
        <v>5</v>
      </c>
      <c r="AE48" s="8">
        <f t="shared" si="12"/>
        <v>5</v>
      </c>
      <c r="AF48" s="8">
        <f t="shared" si="12"/>
        <v>5</v>
      </c>
      <c r="AG48" s="8">
        <f t="shared" si="12"/>
        <v>5</v>
      </c>
      <c r="AH48" s="8">
        <f t="shared" si="12"/>
        <v>5</v>
      </c>
      <c r="AI48" s="9">
        <f t="shared" si="3"/>
        <v>140</v>
      </c>
    </row>
    <row r="49" spans="6:35" x14ac:dyDescent="0.55000000000000004">
      <c r="F49" s="3">
        <v>13</v>
      </c>
      <c r="G49" s="8">
        <f t="shared" ref="G49:AH49" si="13">ROUND(G14,0)</f>
        <v>6</v>
      </c>
      <c r="H49" s="8">
        <f t="shared" si="13"/>
        <v>6</v>
      </c>
      <c r="I49" s="8">
        <f t="shared" si="13"/>
        <v>6</v>
      </c>
      <c r="J49" s="8">
        <f t="shared" si="13"/>
        <v>6</v>
      </c>
      <c r="K49" s="8">
        <f t="shared" si="13"/>
        <v>6</v>
      </c>
      <c r="L49" s="8">
        <f t="shared" si="13"/>
        <v>6</v>
      </c>
      <c r="M49" s="8">
        <f t="shared" si="13"/>
        <v>6</v>
      </c>
      <c r="N49" s="8">
        <f t="shared" si="13"/>
        <v>6</v>
      </c>
      <c r="O49" s="8">
        <f t="shared" si="13"/>
        <v>6</v>
      </c>
      <c r="P49" s="8">
        <f t="shared" si="13"/>
        <v>6</v>
      </c>
      <c r="Q49" s="8">
        <f t="shared" si="13"/>
        <v>6</v>
      </c>
      <c r="R49" s="8">
        <f t="shared" si="13"/>
        <v>6</v>
      </c>
      <c r="S49" s="8">
        <f t="shared" si="13"/>
        <v>6</v>
      </c>
      <c r="T49" s="8">
        <f t="shared" si="13"/>
        <v>6</v>
      </c>
      <c r="U49" s="8">
        <f t="shared" si="13"/>
        <v>6</v>
      </c>
      <c r="V49" s="8">
        <f t="shared" si="13"/>
        <v>6</v>
      </c>
      <c r="W49" s="8">
        <f t="shared" si="13"/>
        <v>6</v>
      </c>
      <c r="X49" s="8">
        <f t="shared" si="13"/>
        <v>6</v>
      </c>
      <c r="Y49" s="8">
        <f t="shared" si="13"/>
        <v>6</v>
      </c>
      <c r="Z49" s="8">
        <f t="shared" si="13"/>
        <v>6</v>
      </c>
      <c r="AA49" s="8">
        <f t="shared" si="13"/>
        <v>6</v>
      </c>
      <c r="AB49" s="8">
        <f t="shared" si="13"/>
        <v>6</v>
      </c>
      <c r="AC49" s="8">
        <f t="shared" si="13"/>
        <v>6</v>
      </c>
      <c r="AD49" s="8">
        <f t="shared" si="13"/>
        <v>6</v>
      </c>
      <c r="AE49" s="8">
        <f t="shared" si="13"/>
        <v>6</v>
      </c>
      <c r="AF49" s="8">
        <f t="shared" si="13"/>
        <v>6</v>
      </c>
      <c r="AG49" s="8">
        <f t="shared" si="13"/>
        <v>6</v>
      </c>
      <c r="AH49" s="8">
        <f t="shared" si="13"/>
        <v>6</v>
      </c>
      <c r="AI49" s="9">
        <f t="shared" si="3"/>
        <v>168</v>
      </c>
    </row>
    <row r="50" spans="6:35" x14ac:dyDescent="0.55000000000000004">
      <c r="F50" s="3">
        <v>14</v>
      </c>
      <c r="G50" s="8">
        <f t="shared" ref="G50:AH50" si="14">ROUND(G15,0)</f>
        <v>6</v>
      </c>
      <c r="H50" s="8">
        <f t="shared" si="14"/>
        <v>6</v>
      </c>
      <c r="I50" s="8">
        <f t="shared" si="14"/>
        <v>6</v>
      </c>
      <c r="J50" s="8">
        <f t="shared" si="14"/>
        <v>6</v>
      </c>
      <c r="K50" s="8">
        <f t="shared" si="14"/>
        <v>6</v>
      </c>
      <c r="L50" s="8">
        <f t="shared" si="14"/>
        <v>6</v>
      </c>
      <c r="M50" s="8">
        <f t="shared" si="14"/>
        <v>6</v>
      </c>
      <c r="N50" s="8">
        <f t="shared" si="14"/>
        <v>6</v>
      </c>
      <c r="O50" s="8">
        <f t="shared" si="14"/>
        <v>6</v>
      </c>
      <c r="P50" s="8">
        <f t="shared" si="14"/>
        <v>6</v>
      </c>
      <c r="Q50" s="8">
        <f t="shared" si="14"/>
        <v>6</v>
      </c>
      <c r="R50" s="8">
        <f t="shared" si="14"/>
        <v>6</v>
      </c>
      <c r="S50" s="8">
        <f t="shared" si="14"/>
        <v>6</v>
      </c>
      <c r="T50" s="8">
        <f t="shared" si="14"/>
        <v>6</v>
      </c>
      <c r="U50" s="8">
        <f t="shared" si="14"/>
        <v>6</v>
      </c>
      <c r="V50" s="8">
        <f t="shared" si="14"/>
        <v>6</v>
      </c>
      <c r="W50" s="8">
        <f t="shared" si="14"/>
        <v>6</v>
      </c>
      <c r="X50" s="8">
        <f t="shared" si="14"/>
        <v>6</v>
      </c>
      <c r="Y50" s="8">
        <f t="shared" si="14"/>
        <v>6</v>
      </c>
      <c r="Z50" s="8">
        <f t="shared" si="14"/>
        <v>6</v>
      </c>
      <c r="AA50" s="8">
        <f t="shared" si="14"/>
        <v>6</v>
      </c>
      <c r="AB50" s="8">
        <f t="shared" si="14"/>
        <v>6</v>
      </c>
      <c r="AC50" s="8">
        <f t="shared" si="14"/>
        <v>6</v>
      </c>
      <c r="AD50" s="8">
        <f t="shared" si="14"/>
        <v>6</v>
      </c>
      <c r="AE50" s="8">
        <f t="shared" si="14"/>
        <v>6</v>
      </c>
      <c r="AF50" s="8">
        <f t="shared" si="14"/>
        <v>6</v>
      </c>
      <c r="AG50" s="8">
        <f t="shared" si="14"/>
        <v>6</v>
      </c>
      <c r="AH50" s="8">
        <f t="shared" si="14"/>
        <v>6</v>
      </c>
      <c r="AI50" s="9">
        <f t="shared" si="3"/>
        <v>168</v>
      </c>
    </row>
    <row r="51" spans="6:35" x14ac:dyDescent="0.55000000000000004">
      <c r="F51" s="3">
        <v>15</v>
      </c>
      <c r="G51" s="8">
        <f t="shared" ref="G51:AH51" si="15">ROUND(G16,0)</f>
        <v>7</v>
      </c>
      <c r="H51" s="8">
        <f t="shared" si="15"/>
        <v>7</v>
      </c>
      <c r="I51" s="8">
        <f t="shared" si="15"/>
        <v>7</v>
      </c>
      <c r="J51" s="8">
        <f t="shared" si="15"/>
        <v>7</v>
      </c>
      <c r="K51" s="8">
        <f t="shared" si="15"/>
        <v>7</v>
      </c>
      <c r="L51" s="8">
        <f t="shared" si="15"/>
        <v>7</v>
      </c>
      <c r="M51" s="8">
        <f t="shared" si="15"/>
        <v>7</v>
      </c>
      <c r="N51" s="8">
        <f t="shared" si="15"/>
        <v>7</v>
      </c>
      <c r="O51" s="8">
        <f t="shared" si="15"/>
        <v>7</v>
      </c>
      <c r="P51" s="8">
        <f t="shared" si="15"/>
        <v>7</v>
      </c>
      <c r="Q51" s="8">
        <f t="shared" si="15"/>
        <v>7</v>
      </c>
      <c r="R51" s="8">
        <f t="shared" si="15"/>
        <v>7</v>
      </c>
      <c r="S51" s="8">
        <f t="shared" si="15"/>
        <v>7</v>
      </c>
      <c r="T51" s="8">
        <f t="shared" si="15"/>
        <v>7</v>
      </c>
      <c r="U51" s="8">
        <f t="shared" si="15"/>
        <v>7</v>
      </c>
      <c r="V51" s="8">
        <f t="shared" si="15"/>
        <v>7</v>
      </c>
      <c r="W51" s="8">
        <f t="shared" si="15"/>
        <v>7</v>
      </c>
      <c r="X51" s="8">
        <f t="shared" si="15"/>
        <v>7</v>
      </c>
      <c r="Y51" s="8">
        <f t="shared" si="15"/>
        <v>7</v>
      </c>
      <c r="Z51" s="8">
        <f t="shared" si="15"/>
        <v>7</v>
      </c>
      <c r="AA51" s="8">
        <f t="shared" si="15"/>
        <v>7</v>
      </c>
      <c r="AB51" s="8">
        <f t="shared" si="15"/>
        <v>7</v>
      </c>
      <c r="AC51" s="8">
        <f t="shared" si="15"/>
        <v>7</v>
      </c>
      <c r="AD51" s="8">
        <f t="shared" si="15"/>
        <v>7</v>
      </c>
      <c r="AE51" s="8">
        <f t="shared" si="15"/>
        <v>7</v>
      </c>
      <c r="AF51" s="8">
        <f t="shared" si="15"/>
        <v>7</v>
      </c>
      <c r="AG51" s="8">
        <f t="shared" si="15"/>
        <v>7</v>
      </c>
      <c r="AH51" s="8">
        <f t="shared" si="15"/>
        <v>7</v>
      </c>
      <c r="AI51" s="9">
        <f t="shared" si="3"/>
        <v>196</v>
      </c>
    </row>
    <row r="52" spans="6:35" x14ac:dyDescent="0.55000000000000004">
      <c r="F52" s="3">
        <v>16</v>
      </c>
      <c r="G52" s="8">
        <f t="shared" ref="G52:AH52" si="16">ROUND(G17,0)</f>
        <v>3</v>
      </c>
      <c r="H52" s="8">
        <f t="shared" si="16"/>
        <v>3</v>
      </c>
      <c r="I52" s="8">
        <f t="shared" si="16"/>
        <v>3</v>
      </c>
      <c r="J52" s="8">
        <f t="shared" si="16"/>
        <v>3</v>
      </c>
      <c r="K52" s="8">
        <f t="shared" si="16"/>
        <v>3</v>
      </c>
      <c r="L52" s="8">
        <f t="shared" si="16"/>
        <v>3</v>
      </c>
      <c r="M52" s="8">
        <f t="shared" si="16"/>
        <v>3</v>
      </c>
      <c r="N52" s="8">
        <f t="shared" si="16"/>
        <v>3</v>
      </c>
      <c r="O52" s="8">
        <f t="shared" si="16"/>
        <v>3</v>
      </c>
      <c r="P52" s="8">
        <f t="shared" si="16"/>
        <v>3</v>
      </c>
      <c r="Q52" s="8">
        <f t="shared" si="16"/>
        <v>3</v>
      </c>
      <c r="R52" s="8">
        <f t="shared" si="16"/>
        <v>3</v>
      </c>
      <c r="S52" s="8">
        <f t="shared" si="16"/>
        <v>3</v>
      </c>
      <c r="T52" s="8">
        <f t="shared" si="16"/>
        <v>3</v>
      </c>
      <c r="U52" s="8">
        <f t="shared" si="16"/>
        <v>3</v>
      </c>
      <c r="V52" s="8">
        <f t="shared" si="16"/>
        <v>3</v>
      </c>
      <c r="W52" s="8">
        <f t="shared" si="16"/>
        <v>3</v>
      </c>
      <c r="X52" s="8">
        <f t="shared" si="16"/>
        <v>3</v>
      </c>
      <c r="Y52" s="8">
        <f t="shared" si="16"/>
        <v>3</v>
      </c>
      <c r="Z52" s="8">
        <f t="shared" si="16"/>
        <v>3</v>
      </c>
      <c r="AA52" s="8">
        <f t="shared" si="16"/>
        <v>3</v>
      </c>
      <c r="AB52" s="8">
        <f t="shared" si="16"/>
        <v>3</v>
      </c>
      <c r="AC52" s="8">
        <f t="shared" si="16"/>
        <v>3</v>
      </c>
      <c r="AD52" s="8">
        <f t="shared" si="16"/>
        <v>3</v>
      </c>
      <c r="AE52" s="8">
        <f t="shared" si="16"/>
        <v>3</v>
      </c>
      <c r="AF52" s="8">
        <f t="shared" si="16"/>
        <v>3</v>
      </c>
      <c r="AG52" s="8">
        <f t="shared" si="16"/>
        <v>3</v>
      </c>
      <c r="AH52" s="8">
        <f t="shared" si="16"/>
        <v>3</v>
      </c>
      <c r="AI52" s="9">
        <f t="shared" si="3"/>
        <v>84</v>
      </c>
    </row>
    <row r="53" spans="6:35" x14ac:dyDescent="0.55000000000000004">
      <c r="F53" s="3">
        <v>17</v>
      </c>
      <c r="G53" s="8">
        <f t="shared" ref="G53:AH53" si="17">ROUND(G18,0)</f>
        <v>0</v>
      </c>
      <c r="H53" s="8">
        <f t="shared" si="17"/>
        <v>0</v>
      </c>
      <c r="I53" s="8">
        <f t="shared" si="17"/>
        <v>0</v>
      </c>
      <c r="J53" s="8">
        <f t="shared" si="17"/>
        <v>0</v>
      </c>
      <c r="K53" s="8">
        <f t="shared" si="17"/>
        <v>0</v>
      </c>
      <c r="L53" s="8">
        <f t="shared" si="17"/>
        <v>0</v>
      </c>
      <c r="M53" s="8">
        <f t="shared" si="17"/>
        <v>0</v>
      </c>
      <c r="N53" s="8">
        <f t="shared" si="17"/>
        <v>0</v>
      </c>
      <c r="O53" s="8">
        <f t="shared" si="17"/>
        <v>0</v>
      </c>
      <c r="P53" s="8">
        <f t="shared" si="17"/>
        <v>0</v>
      </c>
      <c r="Q53" s="8">
        <f t="shared" si="17"/>
        <v>0</v>
      </c>
      <c r="R53" s="8">
        <f t="shared" si="17"/>
        <v>0</v>
      </c>
      <c r="S53" s="8">
        <f t="shared" si="17"/>
        <v>0</v>
      </c>
      <c r="T53" s="8">
        <f t="shared" si="17"/>
        <v>0</v>
      </c>
      <c r="U53" s="8">
        <f t="shared" si="17"/>
        <v>0</v>
      </c>
      <c r="V53" s="8">
        <f t="shared" si="17"/>
        <v>0</v>
      </c>
      <c r="W53" s="8">
        <f t="shared" si="17"/>
        <v>0</v>
      </c>
      <c r="X53" s="8">
        <f t="shared" si="17"/>
        <v>0</v>
      </c>
      <c r="Y53" s="8">
        <f t="shared" si="17"/>
        <v>0</v>
      </c>
      <c r="Z53" s="8">
        <f t="shared" si="17"/>
        <v>0</v>
      </c>
      <c r="AA53" s="8">
        <f t="shared" si="17"/>
        <v>0</v>
      </c>
      <c r="AB53" s="8">
        <f t="shared" si="17"/>
        <v>0</v>
      </c>
      <c r="AC53" s="8">
        <f t="shared" si="17"/>
        <v>0</v>
      </c>
      <c r="AD53" s="8">
        <f t="shared" si="17"/>
        <v>0</v>
      </c>
      <c r="AE53" s="8">
        <f t="shared" si="17"/>
        <v>0</v>
      </c>
      <c r="AF53" s="8">
        <f t="shared" si="17"/>
        <v>0</v>
      </c>
      <c r="AG53" s="8">
        <f t="shared" si="17"/>
        <v>0</v>
      </c>
      <c r="AH53" s="8">
        <f t="shared" si="17"/>
        <v>0</v>
      </c>
      <c r="AI53" s="9">
        <f t="shared" si="3"/>
        <v>0</v>
      </c>
    </row>
    <row r="54" spans="6:35" x14ac:dyDescent="0.55000000000000004">
      <c r="F54" s="3">
        <v>18</v>
      </c>
      <c r="G54" s="8">
        <f t="shared" ref="G54:AH54" si="18">ROUND(G19,0)</f>
        <v>15</v>
      </c>
      <c r="H54" s="8">
        <f t="shared" si="18"/>
        <v>15</v>
      </c>
      <c r="I54" s="8">
        <f t="shared" si="18"/>
        <v>15</v>
      </c>
      <c r="J54" s="8">
        <f t="shared" si="18"/>
        <v>15</v>
      </c>
      <c r="K54" s="8">
        <f t="shared" si="18"/>
        <v>15</v>
      </c>
      <c r="L54" s="8">
        <f t="shared" si="18"/>
        <v>15</v>
      </c>
      <c r="M54" s="8">
        <f t="shared" si="18"/>
        <v>15</v>
      </c>
      <c r="N54" s="8">
        <f t="shared" si="18"/>
        <v>15</v>
      </c>
      <c r="O54" s="8">
        <f t="shared" si="18"/>
        <v>15</v>
      </c>
      <c r="P54" s="8">
        <f t="shared" si="18"/>
        <v>15</v>
      </c>
      <c r="Q54" s="8">
        <f t="shared" si="18"/>
        <v>15</v>
      </c>
      <c r="R54" s="8">
        <f t="shared" si="18"/>
        <v>15</v>
      </c>
      <c r="S54" s="8">
        <f t="shared" si="18"/>
        <v>15</v>
      </c>
      <c r="T54" s="8">
        <f t="shared" si="18"/>
        <v>15</v>
      </c>
      <c r="U54" s="8">
        <f t="shared" si="18"/>
        <v>15</v>
      </c>
      <c r="V54" s="8">
        <f t="shared" si="18"/>
        <v>15</v>
      </c>
      <c r="W54" s="8">
        <f t="shared" si="18"/>
        <v>15</v>
      </c>
      <c r="X54" s="8">
        <f t="shared" si="18"/>
        <v>15</v>
      </c>
      <c r="Y54" s="8">
        <f t="shared" si="18"/>
        <v>15</v>
      </c>
      <c r="Z54" s="8">
        <f t="shared" si="18"/>
        <v>15</v>
      </c>
      <c r="AA54" s="8">
        <f t="shared" si="18"/>
        <v>15</v>
      </c>
      <c r="AB54" s="8">
        <f t="shared" si="18"/>
        <v>15</v>
      </c>
      <c r="AC54" s="8">
        <f t="shared" si="18"/>
        <v>15</v>
      </c>
      <c r="AD54" s="8">
        <f t="shared" si="18"/>
        <v>15</v>
      </c>
      <c r="AE54" s="8">
        <f t="shared" si="18"/>
        <v>15</v>
      </c>
      <c r="AF54" s="8">
        <f t="shared" si="18"/>
        <v>15</v>
      </c>
      <c r="AG54" s="8">
        <f t="shared" si="18"/>
        <v>15</v>
      </c>
      <c r="AH54" s="8">
        <f t="shared" si="18"/>
        <v>15</v>
      </c>
      <c r="AI54" s="9">
        <f t="shared" si="3"/>
        <v>420</v>
      </c>
    </row>
    <row r="55" spans="6:35" x14ac:dyDescent="0.55000000000000004">
      <c r="F55" s="3">
        <v>19</v>
      </c>
      <c r="G55" s="8">
        <f t="shared" ref="G55:AH55" si="19">ROUND(G20,0)</f>
        <v>12</v>
      </c>
      <c r="H55" s="8">
        <f t="shared" si="19"/>
        <v>12</v>
      </c>
      <c r="I55" s="8">
        <f t="shared" si="19"/>
        <v>12</v>
      </c>
      <c r="J55" s="8">
        <f t="shared" si="19"/>
        <v>12</v>
      </c>
      <c r="K55" s="8">
        <f t="shared" si="19"/>
        <v>12</v>
      </c>
      <c r="L55" s="8">
        <f t="shared" si="19"/>
        <v>12</v>
      </c>
      <c r="M55" s="8">
        <f t="shared" si="19"/>
        <v>12</v>
      </c>
      <c r="N55" s="8">
        <f t="shared" si="19"/>
        <v>12</v>
      </c>
      <c r="O55" s="8">
        <f t="shared" si="19"/>
        <v>12</v>
      </c>
      <c r="P55" s="8">
        <f t="shared" si="19"/>
        <v>12</v>
      </c>
      <c r="Q55" s="8">
        <f t="shared" si="19"/>
        <v>12</v>
      </c>
      <c r="R55" s="8">
        <f t="shared" si="19"/>
        <v>12</v>
      </c>
      <c r="S55" s="8">
        <f t="shared" si="19"/>
        <v>12</v>
      </c>
      <c r="T55" s="8">
        <f t="shared" si="19"/>
        <v>12</v>
      </c>
      <c r="U55" s="8">
        <f t="shared" si="19"/>
        <v>12</v>
      </c>
      <c r="V55" s="8">
        <f t="shared" si="19"/>
        <v>12</v>
      </c>
      <c r="W55" s="8">
        <f t="shared" si="19"/>
        <v>12</v>
      </c>
      <c r="X55" s="8">
        <f t="shared" si="19"/>
        <v>12</v>
      </c>
      <c r="Y55" s="8">
        <f t="shared" si="19"/>
        <v>12</v>
      </c>
      <c r="Z55" s="8">
        <f t="shared" si="19"/>
        <v>12</v>
      </c>
      <c r="AA55" s="8">
        <f t="shared" si="19"/>
        <v>12</v>
      </c>
      <c r="AB55" s="8">
        <f t="shared" si="19"/>
        <v>12</v>
      </c>
      <c r="AC55" s="8">
        <f t="shared" si="19"/>
        <v>12</v>
      </c>
      <c r="AD55" s="8">
        <f t="shared" si="19"/>
        <v>12</v>
      </c>
      <c r="AE55" s="8">
        <f t="shared" si="19"/>
        <v>12</v>
      </c>
      <c r="AF55" s="8">
        <f t="shared" si="19"/>
        <v>12</v>
      </c>
      <c r="AG55" s="8">
        <f t="shared" si="19"/>
        <v>12</v>
      </c>
      <c r="AH55" s="8">
        <f t="shared" si="19"/>
        <v>12</v>
      </c>
      <c r="AI55" s="9">
        <f t="shared" si="3"/>
        <v>336</v>
      </c>
    </row>
    <row r="56" spans="6:35" x14ac:dyDescent="0.55000000000000004">
      <c r="F56" s="3">
        <v>20</v>
      </c>
      <c r="G56" s="8">
        <f t="shared" ref="G56:AH56" si="20">ROUND(G21,0)</f>
        <v>23</v>
      </c>
      <c r="H56" s="8">
        <f t="shared" si="20"/>
        <v>23</v>
      </c>
      <c r="I56" s="8">
        <f t="shared" si="20"/>
        <v>23</v>
      </c>
      <c r="J56" s="8">
        <f t="shared" si="20"/>
        <v>23</v>
      </c>
      <c r="K56" s="8">
        <f t="shared" si="20"/>
        <v>23</v>
      </c>
      <c r="L56" s="8">
        <f t="shared" si="20"/>
        <v>23</v>
      </c>
      <c r="M56" s="8">
        <f t="shared" si="20"/>
        <v>23</v>
      </c>
      <c r="N56" s="8">
        <f t="shared" si="20"/>
        <v>23</v>
      </c>
      <c r="O56" s="8">
        <f t="shared" si="20"/>
        <v>23</v>
      </c>
      <c r="P56" s="8">
        <f t="shared" si="20"/>
        <v>23</v>
      </c>
      <c r="Q56" s="8">
        <f t="shared" si="20"/>
        <v>23</v>
      </c>
      <c r="R56" s="8">
        <f t="shared" si="20"/>
        <v>23</v>
      </c>
      <c r="S56" s="8">
        <f t="shared" si="20"/>
        <v>23</v>
      </c>
      <c r="T56" s="8">
        <f t="shared" si="20"/>
        <v>23</v>
      </c>
      <c r="U56" s="8">
        <f t="shared" si="20"/>
        <v>23</v>
      </c>
      <c r="V56" s="8">
        <f t="shared" si="20"/>
        <v>23</v>
      </c>
      <c r="W56" s="8">
        <f t="shared" si="20"/>
        <v>23</v>
      </c>
      <c r="X56" s="8">
        <f t="shared" si="20"/>
        <v>23</v>
      </c>
      <c r="Y56" s="8">
        <f t="shared" si="20"/>
        <v>23</v>
      </c>
      <c r="Z56" s="8">
        <f t="shared" si="20"/>
        <v>23</v>
      </c>
      <c r="AA56" s="8">
        <f t="shared" si="20"/>
        <v>23</v>
      </c>
      <c r="AB56" s="8">
        <f t="shared" si="20"/>
        <v>23</v>
      </c>
      <c r="AC56" s="8">
        <f t="shared" si="20"/>
        <v>23</v>
      </c>
      <c r="AD56" s="8">
        <f t="shared" si="20"/>
        <v>23</v>
      </c>
      <c r="AE56" s="8">
        <f t="shared" si="20"/>
        <v>23</v>
      </c>
      <c r="AF56" s="8">
        <f t="shared" si="20"/>
        <v>23</v>
      </c>
      <c r="AG56" s="8">
        <f t="shared" si="20"/>
        <v>23</v>
      </c>
      <c r="AH56" s="8">
        <f t="shared" si="20"/>
        <v>23</v>
      </c>
      <c r="AI56" s="9">
        <f t="shared" si="3"/>
        <v>644</v>
      </c>
    </row>
    <row r="57" spans="6:35" x14ac:dyDescent="0.55000000000000004">
      <c r="F57" s="3">
        <v>21</v>
      </c>
      <c r="G57" s="8">
        <f t="shared" ref="G57:AH57" si="21">ROUND(G22,0)</f>
        <v>7</v>
      </c>
      <c r="H57" s="8">
        <f t="shared" si="21"/>
        <v>7</v>
      </c>
      <c r="I57" s="8">
        <f t="shared" si="21"/>
        <v>7</v>
      </c>
      <c r="J57" s="8">
        <f t="shared" si="21"/>
        <v>7</v>
      </c>
      <c r="K57" s="8">
        <f t="shared" si="21"/>
        <v>7</v>
      </c>
      <c r="L57" s="8">
        <f t="shared" si="21"/>
        <v>7</v>
      </c>
      <c r="M57" s="8">
        <f t="shared" si="21"/>
        <v>7</v>
      </c>
      <c r="N57" s="8">
        <f t="shared" si="21"/>
        <v>7</v>
      </c>
      <c r="O57" s="8">
        <f t="shared" si="21"/>
        <v>7</v>
      </c>
      <c r="P57" s="8">
        <f t="shared" si="21"/>
        <v>7</v>
      </c>
      <c r="Q57" s="8">
        <f t="shared" si="21"/>
        <v>7</v>
      </c>
      <c r="R57" s="8">
        <f t="shared" si="21"/>
        <v>7</v>
      </c>
      <c r="S57" s="8">
        <f t="shared" si="21"/>
        <v>7</v>
      </c>
      <c r="T57" s="8">
        <f t="shared" si="21"/>
        <v>7</v>
      </c>
      <c r="U57" s="8">
        <f t="shared" si="21"/>
        <v>7</v>
      </c>
      <c r="V57" s="8">
        <f t="shared" si="21"/>
        <v>7</v>
      </c>
      <c r="W57" s="8">
        <f t="shared" si="21"/>
        <v>7</v>
      </c>
      <c r="X57" s="8">
        <f t="shared" si="21"/>
        <v>7</v>
      </c>
      <c r="Y57" s="8">
        <f t="shared" si="21"/>
        <v>7</v>
      </c>
      <c r="Z57" s="8">
        <f t="shared" si="21"/>
        <v>7</v>
      </c>
      <c r="AA57" s="8">
        <f t="shared" si="21"/>
        <v>7</v>
      </c>
      <c r="AB57" s="8">
        <f t="shared" si="21"/>
        <v>7</v>
      </c>
      <c r="AC57" s="8">
        <f t="shared" si="21"/>
        <v>7</v>
      </c>
      <c r="AD57" s="8">
        <f t="shared" si="21"/>
        <v>7</v>
      </c>
      <c r="AE57" s="8">
        <f t="shared" si="21"/>
        <v>7</v>
      </c>
      <c r="AF57" s="8">
        <f t="shared" si="21"/>
        <v>7</v>
      </c>
      <c r="AG57" s="8">
        <f t="shared" si="21"/>
        <v>7</v>
      </c>
      <c r="AH57" s="8">
        <f t="shared" si="21"/>
        <v>7</v>
      </c>
      <c r="AI57" s="9">
        <f t="shared" si="3"/>
        <v>196</v>
      </c>
    </row>
    <row r="58" spans="6:35" x14ac:dyDescent="0.55000000000000004">
      <c r="F58" s="3">
        <v>22</v>
      </c>
      <c r="G58" s="8">
        <f t="shared" ref="G58:AH58" si="22">ROUND(G23,0)</f>
        <v>7</v>
      </c>
      <c r="H58" s="8">
        <f t="shared" si="22"/>
        <v>7</v>
      </c>
      <c r="I58" s="8">
        <f t="shared" si="22"/>
        <v>7</v>
      </c>
      <c r="J58" s="8">
        <f t="shared" si="22"/>
        <v>7</v>
      </c>
      <c r="K58" s="8">
        <f t="shared" si="22"/>
        <v>7</v>
      </c>
      <c r="L58" s="8">
        <f t="shared" si="22"/>
        <v>7</v>
      </c>
      <c r="M58" s="8">
        <f t="shared" si="22"/>
        <v>7</v>
      </c>
      <c r="N58" s="8">
        <f t="shared" si="22"/>
        <v>7</v>
      </c>
      <c r="O58" s="8">
        <f t="shared" si="22"/>
        <v>7</v>
      </c>
      <c r="P58" s="8">
        <f t="shared" si="22"/>
        <v>7</v>
      </c>
      <c r="Q58" s="8">
        <f t="shared" si="22"/>
        <v>7</v>
      </c>
      <c r="R58" s="8">
        <f t="shared" si="22"/>
        <v>7</v>
      </c>
      <c r="S58" s="8">
        <f t="shared" si="22"/>
        <v>7</v>
      </c>
      <c r="T58" s="8">
        <f t="shared" si="22"/>
        <v>7</v>
      </c>
      <c r="U58" s="8">
        <f t="shared" si="22"/>
        <v>7</v>
      </c>
      <c r="V58" s="8">
        <f t="shared" si="22"/>
        <v>7</v>
      </c>
      <c r="W58" s="8">
        <f t="shared" si="22"/>
        <v>7</v>
      </c>
      <c r="X58" s="8">
        <f t="shared" si="22"/>
        <v>7</v>
      </c>
      <c r="Y58" s="8">
        <f t="shared" si="22"/>
        <v>7</v>
      </c>
      <c r="Z58" s="8">
        <f t="shared" si="22"/>
        <v>7</v>
      </c>
      <c r="AA58" s="8">
        <f t="shared" si="22"/>
        <v>7</v>
      </c>
      <c r="AB58" s="8">
        <f t="shared" si="22"/>
        <v>7</v>
      </c>
      <c r="AC58" s="8">
        <f t="shared" si="22"/>
        <v>7</v>
      </c>
      <c r="AD58" s="8">
        <f t="shared" si="22"/>
        <v>7</v>
      </c>
      <c r="AE58" s="8">
        <f t="shared" si="22"/>
        <v>7</v>
      </c>
      <c r="AF58" s="8">
        <f t="shared" si="22"/>
        <v>7</v>
      </c>
      <c r="AG58" s="8">
        <f t="shared" si="22"/>
        <v>7</v>
      </c>
      <c r="AH58" s="8">
        <f t="shared" si="22"/>
        <v>7</v>
      </c>
      <c r="AI58" s="9">
        <f t="shared" si="3"/>
        <v>196</v>
      </c>
    </row>
    <row r="59" spans="6:35" x14ac:dyDescent="0.55000000000000004">
      <c r="F59" s="3">
        <v>23</v>
      </c>
      <c r="G59" s="8">
        <f t="shared" ref="G59:AH59" si="23">ROUND(G24,0)</f>
        <v>15</v>
      </c>
      <c r="H59" s="8">
        <f t="shared" si="23"/>
        <v>15</v>
      </c>
      <c r="I59" s="8">
        <f t="shared" si="23"/>
        <v>15</v>
      </c>
      <c r="J59" s="8">
        <f t="shared" si="23"/>
        <v>15</v>
      </c>
      <c r="K59" s="8">
        <f t="shared" si="23"/>
        <v>15</v>
      </c>
      <c r="L59" s="8">
        <f t="shared" si="23"/>
        <v>15</v>
      </c>
      <c r="M59" s="8">
        <f t="shared" si="23"/>
        <v>15</v>
      </c>
      <c r="N59" s="8">
        <f t="shared" si="23"/>
        <v>15</v>
      </c>
      <c r="O59" s="8">
        <f t="shared" si="23"/>
        <v>15</v>
      </c>
      <c r="P59" s="8">
        <f t="shared" si="23"/>
        <v>15</v>
      </c>
      <c r="Q59" s="8">
        <f t="shared" si="23"/>
        <v>15</v>
      </c>
      <c r="R59" s="8">
        <f t="shared" si="23"/>
        <v>15</v>
      </c>
      <c r="S59" s="8">
        <f t="shared" si="23"/>
        <v>15</v>
      </c>
      <c r="T59" s="8">
        <f t="shared" si="23"/>
        <v>15</v>
      </c>
      <c r="U59" s="8">
        <f t="shared" si="23"/>
        <v>15</v>
      </c>
      <c r="V59" s="8">
        <f t="shared" si="23"/>
        <v>15</v>
      </c>
      <c r="W59" s="8">
        <f t="shared" si="23"/>
        <v>15</v>
      </c>
      <c r="X59" s="8">
        <f t="shared" si="23"/>
        <v>15</v>
      </c>
      <c r="Y59" s="8">
        <f t="shared" si="23"/>
        <v>15</v>
      </c>
      <c r="Z59" s="8">
        <f t="shared" si="23"/>
        <v>15</v>
      </c>
      <c r="AA59" s="8">
        <f t="shared" si="23"/>
        <v>15</v>
      </c>
      <c r="AB59" s="8">
        <f t="shared" si="23"/>
        <v>15</v>
      </c>
      <c r="AC59" s="8">
        <f t="shared" si="23"/>
        <v>15</v>
      </c>
      <c r="AD59" s="8">
        <f t="shared" si="23"/>
        <v>15</v>
      </c>
      <c r="AE59" s="8">
        <f t="shared" si="23"/>
        <v>15</v>
      </c>
      <c r="AF59" s="8">
        <f t="shared" si="23"/>
        <v>15</v>
      </c>
      <c r="AG59" s="8">
        <f t="shared" si="23"/>
        <v>15</v>
      </c>
      <c r="AH59" s="8">
        <f t="shared" si="23"/>
        <v>15</v>
      </c>
      <c r="AI59" s="9">
        <f t="shared" si="3"/>
        <v>420</v>
      </c>
    </row>
    <row r="60" spans="6:35" x14ac:dyDescent="0.55000000000000004">
      <c r="F60" s="3">
        <v>24</v>
      </c>
      <c r="G60" s="8">
        <f t="shared" ref="G60:AH60" si="24">ROUND(G25,0)</f>
        <v>2</v>
      </c>
      <c r="H60" s="8">
        <f t="shared" si="24"/>
        <v>2</v>
      </c>
      <c r="I60" s="8">
        <f t="shared" si="24"/>
        <v>2</v>
      </c>
      <c r="J60" s="8">
        <f t="shared" si="24"/>
        <v>2</v>
      </c>
      <c r="K60" s="8">
        <f t="shared" si="24"/>
        <v>2</v>
      </c>
      <c r="L60" s="8">
        <f t="shared" si="24"/>
        <v>2</v>
      </c>
      <c r="M60" s="8">
        <f t="shared" si="24"/>
        <v>2</v>
      </c>
      <c r="N60" s="8">
        <f t="shared" si="24"/>
        <v>2</v>
      </c>
      <c r="O60" s="8">
        <f t="shared" si="24"/>
        <v>2</v>
      </c>
      <c r="P60" s="8">
        <f t="shared" si="24"/>
        <v>2</v>
      </c>
      <c r="Q60" s="8">
        <f t="shared" si="24"/>
        <v>2</v>
      </c>
      <c r="R60" s="8">
        <f t="shared" si="24"/>
        <v>2</v>
      </c>
      <c r="S60" s="8">
        <f t="shared" si="24"/>
        <v>2</v>
      </c>
      <c r="T60" s="8">
        <f t="shared" si="24"/>
        <v>2</v>
      </c>
      <c r="U60" s="8">
        <f t="shared" si="24"/>
        <v>2</v>
      </c>
      <c r="V60" s="8">
        <f t="shared" si="24"/>
        <v>2</v>
      </c>
      <c r="W60" s="8">
        <f t="shared" si="24"/>
        <v>2</v>
      </c>
      <c r="X60" s="8">
        <f t="shared" si="24"/>
        <v>2</v>
      </c>
      <c r="Y60" s="8">
        <f t="shared" si="24"/>
        <v>2</v>
      </c>
      <c r="Z60" s="8">
        <f t="shared" si="24"/>
        <v>2</v>
      </c>
      <c r="AA60" s="8">
        <f t="shared" si="24"/>
        <v>2</v>
      </c>
      <c r="AB60" s="8">
        <f t="shared" si="24"/>
        <v>2</v>
      </c>
      <c r="AC60" s="8">
        <f t="shared" si="24"/>
        <v>2</v>
      </c>
      <c r="AD60" s="8">
        <f t="shared" si="24"/>
        <v>2</v>
      </c>
      <c r="AE60" s="8">
        <f t="shared" si="24"/>
        <v>2</v>
      </c>
      <c r="AF60" s="8">
        <f t="shared" si="24"/>
        <v>2</v>
      </c>
      <c r="AG60" s="8">
        <f t="shared" si="24"/>
        <v>2</v>
      </c>
      <c r="AH60" s="8">
        <f t="shared" si="24"/>
        <v>2</v>
      </c>
      <c r="AI60" s="9">
        <f t="shared" si="3"/>
        <v>56</v>
      </c>
    </row>
    <row r="61" spans="6:35" x14ac:dyDescent="0.55000000000000004">
      <c r="F61" s="3">
        <v>25</v>
      </c>
      <c r="G61" s="8">
        <f t="shared" ref="G61:AH61" si="25">ROUND(G26,0)</f>
        <v>18</v>
      </c>
      <c r="H61" s="8">
        <f t="shared" si="25"/>
        <v>18</v>
      </c>
      <c r="I61" s="8">
        <f t="shared" si="25"/>
        <v>18</v>
      </c>
      <c r="J61" s="8">
        <f t="shared" si="25"/>
        <v>18</v>
      </c>
      <c r="K61" s="8">
        <f t="shared" si="25"/>
        <v>18</v>
      </c>
      <c r="L61" s="8">
        <f t="shared" si="25"/>
        <v>18</v>
      </c>
      <c r="M61" s="8">
        <f t="shared" si="25"/>
        <v>18</v>
      </c>
      <c r="N61" s="8">
        <f t="shared" si="25"/>
        <v>18</v>
      </c>
      <c r="O61" s="8">
        <f t="shared" si="25"/>
        <v>18</v>
      </c>
      <c r="P61" s="8">
        <f t="shared" si="25"/>
        <v>18</v>
      </c>
      <c r="Q61" s="8">
        <f t="shared" si="25"/>
        <v>18</v>
      </c>
      <c r="R61" s="8">
        <f t="shared" si="25"/>
        <v>18</v>
      </c>
      <c r="S61" s="8">
        <f t="shared" si="25"/>
        <v>18</v>
      </c>
      <c r="T61" s="8">
        <f t="shared" si="25"/>
        <v>18</v>
      </c>
      <c r="U61" s="8">
        <f t="shared" si="25"/>
        <v>18</v>
      </c>
      <c r="V61" s="8">
        <f t="shared" si="25"/>
        <v>18</v>
      </c>
      <c r="W61" s="8">
        <f t="shared" si="25"/>
        <v>18</v>
      </c>
      <c r="X61" s="8">
        <f t="shared" si="25"/>
        <v>18</v>
      </c>
      <c r="Y61" s="8">
        <f t="shared" si="25"/>
        <v>18</v>
      </c>
      <c r="Z61" s="8">
        <f t="shared" si="25"/>
        <v>18</v>
      </c>
      <c r="AA61" s="8">
        <f t="shared" si="25"/>
        <v>18</v>
      </c>
      <c r="AB61" s="8">
        <f t="shared" si="25"/>
        <v>18</v>
      </c>
      <c r="AC61" s="8">
        <f t="shared" si="25"/>
        <v>18</v>
      </c>
      <c r="AD61" s="8">
        <f t="shared" si="25"/>
        <v>18</v>
      </c>
      <c r="AE61" s="8">
        <f t="shared" si="25"/>
        <v>18</v>
      </c>
      <c r="AF61" s="8">
        <f t="shared" si="25"/>
        <v>18</v>
      </c>
      <c r="AG61" s="8">
        <f t="shared" si="25"/>
        <v>18</v>
      </c>
      <c r="AH61" s="8">
        <f t="shared" si="25"/>
        <v>18</v>
      </c>
      <c r="AI61" s="9">
        <f t="shared" si="3"/>
        <v>504</v>
      </c>
    </row>
    <row r="62" spans="6:35" x14ac:dyDescent="0.55000000000000004">
      <c r="F62" s="3">
        <v>26</v>
      </c>
      <c r="G62" s="8">
        <f t="shared" ref="G62:AH62" si="26">ROUND(G27,0)</f>
        <v>2</v>
      </c>
      <c r="H62" s="8">
        <f t="shared" si="26"/>
        <v>2</v>
      </c>
      <c r="I62" s="8">
        <f t="shared" si="26"/>
        <v>2</v>
      </c>
      <c r="J62" s="8">
        <f t="shared" si="26"/>
        <v>2</v>
      </c>
      <c r="K62" s="8">
        <f t="shared" si="26"/>
        <v>2</v>
      </c>
      <c r="L62" s="8">
        <f t="shared" si="26"/>
        <v>2</v>
      </c>
      <c r="M62" s="8">
        <f t="shared" si="26"/>
        <v>2</v>
      </c>
      <c r="N62" s="8">
        <f t="shared" si="26"/>
        <v>2</v>
      </c>
      <c r="O62" s="8">
        <f t="shared" si="26"/>
        <v>2</v>
      </c>
      <c r="P62" s="8">
        <f t="shared" si="26"/>
        <v>2</v>
      </c>
      <c r="Q62" s="8">
        <f t="shared" si="26"/>
        <v>2</v>
      </c>
      <c r="R62" s="8">
        <f t="shared" si="26"/>
        <v>2</v>
      </c>
      <c r="S62" s="8">
        <f t="shared" si="26"/>
        <v>2</v>
      </c>
      <c r="T62" s="8">
        <f t="shared" si="26"/>
        <v>2</v>
      </c>
      <c r="U62" s="8">
        <f t="shared" si="26"/>
        <v>2</v>
      </c>
      <c r="V62" s="8">
        <f t="shared" si="26"/>
        <v>2</v>
      </c>
      <c r="W62" s="8">
        <f t="shared" si="26"/>
        <v>2</v>
      </c>
      <c r="X62" s="8">
        <f t="shared" si="26"/>
        <v>2</v>
      </c>
      <c r="Y62" s="8">
        <f t="shared" si="26"/>
        <v>2</v>
      </c>
      <c r="Z62" s="8">
        <f t="shared" si="26"/>
        <v>2</v>
      </c>
      <c r="AA62" s="8">
        <f t="shared" si="26"/>
        <v>2</v>
      </c>
      <c r="AB62" s="8">
        <f t="shared" si="26"/>
        <v>2</v>
      </c>
      <c r="AC62" s="8">
        <f t="shared" si="26"/>
        <v>2</v>
      </c>
      <c r="AD62" s="8">
        <f t="shared" si="26"/>
        <v>2</v>
      </c>
      <c r="AE62" s="8">
        <f t="shared" si="26"/>
        <v>2</v>
      </c>
      <c r="AF62" s="8">
        <f t="shared" si="26"/>
        <v>2</v>
      </c>
      <c r="AG62" s="8">
        <f t="shared" si="26"/>
        <v>2</v>
      </c>
      <c r="AH62" s="8">
        <f t="shared" si="26"/>
        <v>2</v>
      </c>
      <c r="AI62" s="9">
        <f t="shared" si="3"/>
        <v>56</v>
      </c>
    </row>
    <row r="63" spans="6:35" x14ac:dyDescent="0.55000000000000004">
      <c r="F63" s="3">
        <v>27</v>
      </c>
      <c r="G63" s="8">
        <f t="shared" ref="G63:AH63" si="27">ROUND(G28,0)</f>
        <v>31</v>
      </c>
      <c r="H63" s="8">
        <f t="shared" si="27"/>
        <v>31</v>
      </c>
      <c r="I63" s="8">
        <f t="shared" si="27"/>
        <v>31</v>
      </c>
      <c r="J63" s="8">
        <f t="shared" si="27"/>
        <v>31</v>
      </c>
      <c r="K63" s="8">
        <f t="shared" si="27"/>
        <v>31</v>
      </c>
      <c r="L63" s="8">
        <f t="shared" si="27"/>
        <v>31</v>
      </c>
      <c r="M63" s="8">
        <f t="shared" si="27"/>
        <v>31</v>
      </c>
      <c r="N63" s="8">
        <f t="shared" si="27"/>
        <v>31</v>
      </c>
      <c r="O63" s="8">
        <f t="shared" si="27"/>
        <v>31</v>
      </c>
      <c r="P63" s="8">
        <f t="shared" si="27"/>
        <v>31</v>
      </c>
      <c r="Q63" s="8">
        <f t="shared" si="27"/>
        <v>31</v>
      </c>
      <c r="R63" s="8">
        <f t="shared" si="27"/>
        <v>31</v>
      </c>
      <c r="S63" s="8">
        <f t="shared" si="27"/>
        <v>31</v>
      </c>
      <c r="T63" s="8">
        <f t="shared" si="27"/>
        <v>31</v>
      </c>
      <c r="U63" s="8">
        <f t="shared" si="27"/>
        <v>31</v>
      </c>
      <c r="V63" s="8">
        <f t="shared" si="27"/>
        <v>31</v>
      </c>
      <c r="W63" s="8">
        <f t="shared" si="27"/>
        <v>31</v>
      </c>
      <c r="X63" s="8">
        <f t="shared" si="27"/>
        <v>31</v>
      </c>
      <c r="Y63" s="8">
        <f t="shared" si="27"/>
        <v>31</v>
      </c>
      <c r="Z63" s="8">
        <f t="shared" si="27"/>
        <v>31</v>
      </c>
      <c r="AA63" s="8">
        <f t="shared" si="27"/>
        <v>31</v>
      </c>
      <c r="AB63" s="8">
        <f t="shared" si="27"/>
        <v>31</v>
      </c>
      <c r="AC63" s="8">
        <f t="shared" si="27"/>
        <v>31</v>
      </c>
      <c r="AD63" s="8">
        <f t="shared" si="27"/>
        <v>31</v>
      </c>
      <c r="AE63" s="8">
        <f t="shared" si="27"/>
        <v>31</v>
      </c>
      <c r="AF63" s="8">
        <f t="shared" si="27"/>
        <v>31</v>
      </c>
      <c r="AG63" s="8">
        <f t="shared" si="27"/>
        <v>31</v>
      </c>
      <c r="AH63" s="8">
        <f t="shared" si="27"/>
        <v>31</v>
      </c>
      <c r="AI63" s="9">
        <f t="shared" si="3"/>
        <v>868</v>
      </c>
    </row>
    <row r="64" spans="6:35" x14ac:dyDescent="0.55000000000000004">
      <c r="F64" s="3">
        <v>28</v>
      </c>
      <c r="G64" s="8">
        <f t="shared" ref="G64:AH64" si="28">ROUND(G29,0)</f>
        <v>11</v>
      </c>
      <c r="H64" s="8">
        <f t="shared" si="28"/>
        <v>11</v>
      </c>
      <c r="I64" s="8">
        <f t="shared" si="28"/>
        <v>11</v>
      </c>
      <c r="J64" s="8">
        <f t="shared" si="28"/>
        <v>11</v>
      </c>
      <c r="K64" s="8">
        <f t="shared" si="28"/>
        <v>11</v>
      </c>
      <c r="L64" s="8">
        <f t="shared" si="28"/>
        <v>11</v>
      </c>
      <c r="M64" s="8">
        <f t="shared" si="28"/>
        <v>11</v>
      </c>
      <c r="N64" s="8">
        <f t="shared" si="28"/>
        <v>11</v>
      </c>
      <c r="O64" s="8">
        <f t="shared" si="28"/>
        <v>11</v>
      </c>
      <c r="P64" s="8">
        <f t="shared" si="28"/>
        <v>11</v>
      </c>
      <c r="Q64" s="8">
        <f t="shared" si="28"/>
        <v>11</v>
      </c>
      <c r="R64" s="8">
        <f t="shared" si="28"/>
        <v>11</v>
      </c>
      <c r="S64" s="8">
        <f t="shared" si="28"/>
        <v>11</v>
      </c>
      <c r="T64" s="8">
        <f t="shared" si="28"/>
        <v>11</v>
      </c>
      <c r="U64" s="8">
        <f t="shared" si="28"/>
        <v>11</v>
      </c>
      <c r="V64" s="8">
        <f t="shared" si="28"/>
        <v>11</v>
      </c>
      <c r="W64" s="8">
        <f t="shared" si="28"/>
        <v>11</v>
      </c>
      <c r="X64" s="8">
        <f t="shared" si="28"/>
        <v>11</v>
      </c>
      <c r="Y64" s="8">
        <f t="shared" si="28"/>
        <v>11</v>
      </c>
      <c r="Z64" s="8">
        <f t="shared" si="28"/>
        <v>11</v>
      </c>
      <c r="AA64" s="8">
        <f t="shared" si="28"/>
        <v>11</v>
      </c>
      <c r="AB64" s="8">
        <f t="shared" si="28"/>
        <v>11</v>
      </c>
      <c r="AC64" s="8">
        <f t="shared" si="28"/>
        <v>11</v>
      </c>
      <c r="AD64" s="8">
        <f t="shared" si="28"/>
        <v>11</v>
      </c>
      <c r="AE64" s="8">
        <f t="shared" si="28"/>
        <v>11</v>
      </c>
      <c r="AF64" s="8">
        <f t="shared" si="28"/>
        <v>11</v>
      </c>
      <c r="AG64" s="8">
        <f t="shared" si="28"/>
        <v>11</v>
      </c>
      <c r="AH64" s="8">
        <f t="shared" si="28"/>
        <v>11</v>
      </c>
      <c r="AI64" s="9">
        <f t="shared" si="3"/>
        <v>308</v>
      </c>
    </row>
    <row r="65" spans="6:35" x14ac:dyDescent="0.55000000000000004">
      <c r="F65" s="3">
        <v>29</v>
      </c>
      <c r="G65" s="8">
        <f t="shared" ref="G65:AH65" si="29">ROUND(G30,0)</f>
        <v>10</v>
      </c>
      <c r="H65" s="8">
        <f t="shared" si="29"/>
        <v>10</v>
      </c>
      <c r="I65" s="8">
        <f t="shared" si="29"/>
        <v>10</v>
      </c>
      <c r="J65" s="8">
        <f t="shared" si="29"/>
        <v>10</v>
      </c>
      <c r="K65" s="8">
        <f t="shared" si="29"/>
        <v>10</v>
      </c>
      <c r="L65" s="8">
        <f t="shared" si="29"/>
        <v>10</v>
      </c>
      <c r="M65" s="8">
        <f t="shared" si="29"/>
        <v>10</v>
      </c>
      <c r="N65" s="8">
        <f t="shared" si="29"/>
        <v>10</v>
      </c>
      <c r="O65" s="8">
        <f t="shared" si="29"/>
        <v>10</v>
      </c>
      <c r="P65" s="8">
        <f t="shared" si="29"/>
        <v>10</v>
      </c>
      <c r="Q65" s="8">
        <f t="shared" si="29"/>
        <v>10</v>
      </c>
      <c r="R65" s="8">
        <f t="shared" si="29"/>
        <v>10</v>
      </c>
      <c r="S65" s="8">
        <f t="shared" si="29"/>
        <v>10</v>
      </c>
      <c r="T65" s="8">
        <f t="shared" si="29"/>
        <v>10</v>
      </c>
      <c r="U65" s="8">
        <f t="shared" si="29"/>
        <v>10</v>
      </c>
      <c r="V65" s="8">
        <f t="shared" si="29"/>
        <v>10</v>
      </c>
      <c r="W65" s="8">
        <f t="shared" si="29"/>
        <v>10</v>
      </c>
      <c r="X65" s="8">
        <f t="shared" si="29"/>
        <v>10</v>
      </c>
      <c r="Y65" s="8">
        <f t="shared" si="29"/>
        <v>10</v>
      </c>
      <c r="Z65" s="8">
        <f t="shared" si="29"/>
        <v>10</v>
      </c>
      <c r="AA65" s="8">
        <f t="shared" si="29"/>
        <v>10</v>
      </c>
      <c r="AB65" s="8">
        <f t="shared" si="29"/>
        <v>10</v>
      </c>
      <c r="AC65" s="8">
        <f t="shared" si="29"/>
        <v>10</v>
      </c>
      <c r="AD65" s="8">
        <f t="shared" si="29"/>
        <v>10</v>
      </c>
      <c r="AE65" s="8">
        <f t="shared" si="29"/>
        <v>10</v>
      </c>
      <c r="AF65" s="8">
        <f t="shared" si="29"/>
        <v>10</v>
      </c>
      <c r="AG65" s="8">
        <f t="shared" si="29"/>
        <v>10</v>
      </c>
      <c r="AH65" s="8">
        <f t="shared" si="29"/>
        <v>10</v>
      </c>
      <c r="AI65" s="9">
        <f t="shared" si="3"/>
        <v>280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distancematrix</vt:lpstr>
      <vt:lpstr>generation</vt:lpstr>
      <vt:lpstr>distribution</vt:lpstr>
      <vt:lpstr>ODmatrix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SAHRA ZAREI</dc:creator>
  <cp:lastModifiedBy>SAHRA ZAREI</cp:lastModifiedBy>
  <dcterms:created xsi:type="dcterms:W3CDTF">2025-06-16T06:35:57Z</dcterms:created>
  <dcterms:modified xsi:type="dcterms:W3CDTF">2025-06-23T17:13:26Z</dcterms:modified>
</cp:coreProperties>
</file>